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 AI\Food Delivery\Croffle\"/>
    </mc:Choice>
  </mc:AlternateContent>
  <xr:revisionPtr revIDLastSave="0" documentId="13_ncr:1_{A1A127FB-F56D-455C-A7BA-AF0A95F98677}" xr6:coauthVersionLast="47" xr6:coauthVersionMax="47" xr10:uidLastSave="{00000000-0000-0000-0000-000000000000}"/>
  <bookViews>
    <workbookView xWindow="-108" yWindow="-108" windowWidth="30936" windowHeight="16776" tabRatio="500" activeTab="1" xr2:uid="{00000000-000D-0000-FFFF-FFFF00000000}"/>
  </bookViews>
  <sheets>
    <sheet name="🧾 วัตถุดิบ" sheetId="1" r:id="rId1"/>
    <sheet name="💰 ต้นทุน &amp; ราคาขาย" sheetId="2" r:id="rId2"/>
    <sheet name="📊 บันทึกรายรับ" sheetId="3" r:id="rId3"/>
    <sheet name="🚀 แอปเดลิเวอรี่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4" l="1"/>
  <c r="D8" i="4"/>
  <c r="B8" i="4"/>
  <c r="A8" i="4"/>
  <c r="E7" i="4"/>
  <c r="D7" i="4"/>
  <c r="B7" i="4"/>
  <c r="A7" i="4"/>
  <c r="E6" i="4"/>
  <c r="D6" i="4"/>
  <c r="B6" i="4"/>
  <c r="A6" i="4"/>
  <c r="E5" i="4"/>
  <c r="D5" i="4"/>
  <c r="B5" i="4"/>
  <c r="A5" i="4"/>
  <c r="D8" i="3"/>
  <c r="H12" i="3" s="1"/>
  <c r="B7" i="3"/>
  <c r="E7" i="3" s="1"/>
  <c r="E6" i="3"/>
  <c r="B6" i="3"/>
  <c r="B5" i="3"/>
  <c r="E5" i="3" s="1"/>
  <c r="B4" i="3"/>
  <c r="E4" i="3" s="1"/>
  <c r="F10" i="1"/>
  <c r="H10" i="1" s="1"/>
  <c r="F9" i="1"/>
  <c r="H9" i="1" s="1"/>
  <c r="F8" i="1"/>
  <c r="H8" i="1" s="1"/>
  <c r="F7" i="1"/>
  <c r="H7" i="1" s="1"/>
  <c r="F6" i="1"/>
  <c r="H6" i="1" s="1"/>
  <c r="H5" i="1"/>
  <c r="D17" i="2" s="1"/>
  <c r="F5" i="1"/>
  <c r="F4" i="1"/>
  <c r="H4" i="1" s="1"/>
  <c r="C5" i="2" l="1"/>
  <c r="C16" i="2"/>
  <c r="C17" i="2"/>
  <c r="C15" i="2"/>
  <c r="C14" i="2"/>
  <c r="C7" i="2"/>
  <c r="E17" i="2"/>
  <c r="E15" i="2"/>
  <c r="E14" i="2"/>
  <c r="E16" i="2"/>
  <c r="F16" i="2"/>
  <c r="C8" i="2"/>
  <c r="F17" i="2"/>
  <c r="F15" i="2"/>
  <c r="F14" i="2"/>
  <c r="C9" i="2"/>
  <c r="G17" i="2"/>
  <c r="G16" i="2"/>
  <c r="C10" i="2"/>
  <c r="H16" i="2"/>
  <c r="H17" i="2"/>
  <c r="C11" i="2"/>
  <c r="E8" i="3"/>
  <c r="D16" i="2"/>
  <c r="D14" i="2"/>
  <c r="C6" i="2"/>
  <c r="D15" i="2"/>
  <c r="A12" i="3" l="1"/>
  <c r="I15" i="2"/>
  <c r="I16" i="2"/>
  <c r="I14" i="2"/>
  <c r="I17" i="2"/>
  <c r="C8" i="4" l="1"/>
  <c r="G8" i="4" s="1"/>
  <c r="H8" i="4" s="1"/>
  <c r="C7" i="3"/>
  <c r="F7" i="3" s="1"/>
  <c r="G7" i="3" s="1"/>
  <c r="H7" i="3" s="1"/>
  <c r="K17" i="2"/>
  <c r="L17" i="2" s="1"/>
  <c r="K15" i="2"/>
  <c r="L15" i="2" s="1"/>
  <c r="C6" i="4"/>
  <c r="G6" i="4" s="1"/>
  <c r="H6" i="4" s="1"/>
  <c r="C5" i="3"/>
  <c r="F5" i="3" s="1"/>
  <c r="G5" i="3" s="1"/>
  <c r="H5" i="3" s="1"/>
  <c r="K14" i="2"/>
  <c r="L14" i="2" s="1"/>
  <c r="C4" i="3"/>
  <c r="F4" i="3" s="1"/>
  <c r="C5" i="4"/>
  <c r="G5" i="4" s="1"/>
  <c r="H5" i="4" s="1"/>
  <c r="C6" i="3"/>
  <c r="F6" i="3" s="1"/>
  <c r="G6" i="3" s="1"/>
  <c r="H6" i="3" s="1"/>
  <c r="K16" i="2"/>
  <c r="L16" i="2" s="1"/>
  <c r="C7" i="4"/>
  <c r="G7" i="4" s="1"/>
  <c r="H7" i="4" s="1"/>
  <c r="F8" i="3" l="1"/>
  <c r="B12" i="3" s="1"/>
  <c r="G4" i="3"/>
  <c r="G8" i="3" l="1"/>
  <c r="H4" i="3"/>
  <c r="D12" i="3" l="1"/>
  <c r="H8" i="3"/>
  <c r="F12" i="3"/>
</calcChain>
</file>

<file path=xl/sharedStrings.xml><?xml version="1.0" encoding="utf-8"?>
<sst xmlns="http://schemas.openxmlformats.org/spreadsheetml/2006/main" count="106" uniqueCount="84">
  <si>
    <t>🥐  CROFFLE — ตารางวัตถุดิบและต้นทุนต่อหน่วย</t>
  </si>
  <si>
    <t>กรอกราคาและปริมาณในคอลัมน์สีน้ำเงิน — ระบบคำนวณต้นทุนต่อหน่วยให้อัตโนมัติ</t>
  </si>
  <si>
    <t>#</t>
  </si>
  <si>
    <t>วัตถุดิบ</t>
  </si>
  <si>
    <t>ราคาที่ซื้อ (฿)</t>
  </si>
  <si>
    <t>ปริมาณที่ได้</t>
  </si>
  <si>
    <t>หน่วย</t>
  </si>
  <si>
    <t>ราคาต่อหน่วย (฿)</t>
  </si>
  <si>
    <t>ปริมาณใช้/ชิ้น</t>
  </si>
  <si>
    <t>ต้นทุน/ชิ้น (฿)</t>
  </si>
  <si>
    <t>ตัวขนม (แป้งครอฟเฟิล)</t>
  </si>
  <si>
    <t>ชิ้น</t>
  </si>
  <si>
    <t>กล่อง + ถุง</t>
  </si>
  <si>
    <t>กล่อง</t>
  </si>
  <si>
    <t>แผ่นรองขนม</t>
  </si>
  <si>
    <t>แผ่น</t>
  </si>
  <si>
    <t>เนย</t>
  </si>
  <si>
    <t>น้ำตาลคาราเมล</t>
  </si>
  <si>
    <t>กรัม</t>
  </si>
  <si>
    <t>นูเทลา (topping)</t>
  </si>
  <si>
    <t>เนยถั่ว (topping)</t>
  </si>
  <si>
    <t>🔵 คอลัมน์สีน้ำเงิน = แก้ไขได้   |   คอลัมน์เขียว = คำนวณอัตโนมัติ</t>
  </si>
  <si>
    <t>🥐  CROFFLE — ต้นทุนและราคาขาย  |  3 สูตร</t>
  </si>
  <si>
    <t>ธรรมดา (1 ชิ้น / 2 ชิ้น)  •  นูเทลา (1 ชิ้น)  •  เนยถั่ว (1 ชิ้น)</t>
  </si>
  <si>
    <t>📌 ต้นทุนต่อชิ้น (อ้างจากชีทวัตถุดิบ)</t>
  </si>
  <si>
    <t>ตัวขนม/ชิ้น</t>
  </si>
  <si>
    <t>฿/ชิ้น</t>
  </si>
  <si>
    <t>กล่อง+ถุง/กล่อง</t>
  </si>
  <si>
    <t>แผ่นรอง/กล่อง</t>
  </si>
  <si>
    <t>เนย/ชิ้น</t>
  </si>
  <si>
    <t>คาราเมล/ชิ้น</t>
  </si>
  <si>
    <t>นูเทลา/ชิ้น</t>
  </si>
  <si>
    <t>เนยถั่ว/ชิ้น</t>
  </si>
  <si>
    <t>เมนู</t>
  </si>
  <si>
    <t>จำนวนชิ้น
/กล่อง</t>
  </si>
  <si>
    <t>ขนม (฿)</t>
  </si>
  <si>
    <t>กล่อง+ถุง (฿)</t>
  </si>
  <si>
    <t>แผ่นรอง (฿)</t>
  </si>
  <si>
    <t>เนย (฿)</t>
  </si>
  <si>
    <t>คาราเมล (฿)</t>
  </si>
  <si>
    <t>Topping (฿)</t>
  </si>
  <si>
    <t>ต้นทุน/กล่อง (฿)</t>
  </si>
  <si>
    <t>ราคาขาย (฿)</t>
  </si>
  <si>
    <t>กำไร/กล่อง (฿)</t>
  </si>
  <si>
    <t>กำไร %</t>
  </si>
  <si>
    <t>🍫 ธรรมดา — 1 ชิ้น/กล่อง</t>
  </si>
  <si>
    <t>0</t>
  </si>
  <si>
    <t>🍫 ธรรมดา — 2 ชิ้น/กล่อง (โปร)</t>
  </si>
  <si>
    <t>🍯 นูเทลา — 1 ชิ้น/กล่อง</t>
  </si>
  <si>
    <t>🥜 เนยถั่ว — 1 ชิ้น/กล่อง</t>
  </si>
  <si>
    <t>🔵 ราคาขาย (คอลัมน์ J) แก้ไขได้ตามต้องการ — กำไรจะคำนวณใหม่อัตโนมัติ</t>
  </si>
  <si>
    <t>🥐  CROFFLE — บันทึกยอดขายรายวัน + แดชบอร์ด</t>
  </si>
  <si>
    <t>กรอกจำนวนกล่องที่ขายในคอลัมน์ D (สีน้ำเงิน) — ระบบคำนวณกำไรอัตโนมัติ</t>
  </si>
  <si>
    <t>จำนวนที่ขาย (กล่อง)</t>
  </si>
  <si>
    <t>รายรับ (฿)</t>
  </si>
  <si>
    <t>ต้นทุนรวม (฿)</t>
  </si>
  <si>
    <t>กำไรสุทธิ (฿)</t>
  </si>
  <si>
    <t>🍫 ธรรมดา 1 ชิ้น</t>
  </si>
  <si>
    <t>🍫 ธรรมดา 2 ชิ้น (โปร)</t>
  </si>
  <si>
    <t>🍯 นูเทลา 1 ชิ้น</t>
  </si>
  <si>
    <t>🥜 เนยถั่ว 1 ชิ้น</t>
  </si>
  <si>
    <t>📦 รวมทั้งหมด</t>
  </si>
  <si>
    <t>📊  แดชบอร์ดสรุปยอดประจำวัน</t>
  </si>
  <si>
    <t>💰 รายรับรวม</t>
  </si>
  <si>
    <t>📦 ต้นทุนรวม</t>
  </si>
  <si>
    <t>✨ กำไรสุทธิ</t>
  </si>
  <si>
    <t>📈 กำไร %</t>
  </si>
  <si>
    <t>🛒 กล่องรวม</t>
  </si>
  <si>
    <t>฿</t>
  </si>
  <si>
    <t>🥐  CROFFLE — ราคาสำหรับแอปเดลิเวอรี่  (GrabFood / LINE MAN / Foodpanda)</t>
  </si>
  <si>
    <t>% Commission แอป:</t>
  </si>
  <si>
    <t>← แก้ไขได้ (GrabFood/LINE MAN = 30%, Foodpanda = 30-35%)</t>
  </si>
  <si>
    <t>ราคาขายปกติ (฿)</t>
  </si>
  <si>
    <t>% GP</t>
  </si>
  <si>
    <t>ราคา Break-even
ในแอป (฿)</t>
  </si>
  <si>
    <t>ราคาแนะนำตั้งในแอป (฿)</t>
  </si>
  <si>
    <t>กำไรหลัง GP (฿)</t>
  </si>
  <si>
    <t>💡 เคล็ดลับขายในแอปเดลิเวอรี่</t>
  </si>
  <si>
    <t>1️⃣  ตั้งราคาในแอปสูงกว่าราคาหน้าร้าน ~43% เพื่อครอบคลุม GP 30% และยังมีกำไรเท่าเดิม</t>
  </si>
  <si>
    <t>2️⃣  ใส่รูปสวย ชัดเจน — รูปภาพดีช่วยให้ยอดคลิกและออเดอร์เพิ่มขึ้นกว่า 2 เท่า</t>
  </si>
  <si>
    <t>3️⃣  เปิดขายช่วง 10.00-20.00 โดยเน้น 14.00-17.00 (afternoon snack peak)</t>
  </si>
  <si>
    <t>4️⃣  ตั้ง MOQ 1 กล่อง แต่ทำโปรซื้อ 2 กล่องขึ้นไปลด 10% ดึงยอดเพิ่ม</t>
  </si>
  <si>
    <t>5️⃣  ขอ Rating หลังส่งทุกออเดอร์ — Rating 4.5+ ช่วยให้ติด Featured ในแอป</t>
  </si>
  <si>
    <t>6️⃣  ทำรูป packaging สวย ลูกค้าแชร์ IG/TikTok = โฆษณาฟรี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</si>
</sst>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#,##0.0000"/>
    <numFmt numFmtId="188" formatCode="0.0%"/>
  </numFmts>
  <fonts count="2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7B4A1E"/>
      <name val="Arial"/>
      <charset val="1"/>
    </font>
    <font>
      <b/>
      <sz val="10"/>
      <color rgb="FF212121"/>
      <name val="Arial"/>
      <charset val="1"/>
    </font>
    <font>
      <b/>
      <sz val="10"/>
      <color rgb="FF1565C0"/>
      <name val="Arial"/>
      <charset val="1"/>
    </font>
    <font>
      <sz val="10"/>
      <color rgb="FF555555"/>
      <name val="Arial"/>
      <charset val="1"/>
    </font>
    <font>
      <b/>
      <sz val="10"/>
      <color rgb="FF4A2C0A"/>
      <name val="Arial"/>
      <charset val="1"/>
    </font>
    <font>
      <b/>
      <sz val="10"/>
      <color rgb="FF2E7D32"/>
      <name val="Arial"/>
      <charset val="1"/>
    </font>
    <font>
      <sz val="10"/>
      <color rgb="FF212121"/>
      <name val="Arial"/>
      <charset val="1"/>
    </font>
    <font>
      <b/>
      <sz val="9"/>
      <color rgb="FF555555"/>
      <name val="Arial"/>
      <charset val="1"/>
    </font>
    <font>
      <b/>
      <sz val="10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2E7D32"/>
      <name val="Arial"/>
      <charset val="1"/>
    </font>
    <font>
      <sz val="9"/>
      <color rgb="FF888888"/>
      <name val="Arial"/>
      <charset val="1"/>
    </font>
    <font>
      <sz val="10"/>
      <color rgb="FF444444"/>
      <name val="Arial"/>
      <charset val="1"/>
    </font>
    <font>
      <b/>
      <sz val="12"/>
      <color rgb="FF1565C0"/>
      <name val="Arial"/>
      <charset val="1"/>
    </font>
    <font>
      <b/>
      <sz val="11"/>
      <color rgb="FFFFD700"/>
      <name val="Arial"/>
      <charset val="1"/>
    </font>
    <font>
      <b/>
      <sz val="16"/>
      <color rgb="FF2E7D32"/>
      <name val="Arial"/>
      <charset val="1"/>
    </font>
    <font>
      <b/>
      <sz val="16"/>
      <color rgb="FFC62828"/>
      <name val="Arial"/>
      <charset val="1"/>
    </font>
    <font>
      <b/>
      <sz val="16"/>
      <color rgb="FF1565C0"/>
      <name val="Arial"/>
      <charset val="1"/>
    </font>
    <font>
      <b/>
      <sz val="16"/>
      <color rgb="FF7B4A1E"/>
      <name val="Arial"/>
      <charset val="1"/>
    </font>
    <font>
      <b/>
      <sz val="16"/>
      <color rgb="FF4A2C0A"/>
      <name val="Arial"/>
      <charset val="1"/>
    </font>
    <font>
      <b/>
      <sz val="13"/>
      <color rgb="FF1565C0"/>
      <name val="Arial"/>
      <charset val="1"/>
    </font>
    <font>
      <sz val="9"/>
      <color rgb="FF666666"/>
      <name val="Arial"/>
      <charset val="1"/>
    </font>
    <font>
      <sz val="10"/>
      <color rgb="FF666666"/>
      <name val="Arial"/>
      <charset val="1"/>
    </font>
    <font>
      <sz val="10"/>
      <color rgb="FFC62828"/>
      <name val="Arial"/>
      <charset val="1"/>
    </font>
    <font>
      <sz val="9"/>
      <color rgb="FF21212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4A2C0A"/>
        <bgColor rgb="FF212121"/>
      </patternFill>
    </fill>
    <fill>
      <patternFill patternType="solid">
        <fgColor rgb="FF7B4A1E"/>
        <bgColor rgb="FF555555"/>
      </patternFill>
    </fill>
    <fill>
      <patternFill patternType="solid">
        <fgColor rgb="FFF5A623"/>
        <bgColor rgb="FFED7D31"/>
      </patternFill>
    </fill>
    <fill>
      <patternFill patternType="solid">
        <fgColor rgb="FFFFF8F0"/>
        <bgColor rgb="FFF9F9F9"/>
      </patternFill>
    </fill>
    <fill>
      <patternFill patternType="solid">
        <fgColor rgb="FFFDE9C0"/>
        <bgColor rgb="FFFFF8F0"/>
      </patternFill>
    </fill>
    <fill>
      <patternFill patternType="solid">
        <fgColor rgb="FFF5F5F5"/>
        <bgColor rgb="FFF9F9F9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7" fillId="0" borderId="0" xfId="0" applyFont="1"/>
    <xf numFmtId="0" fontId="14" fillId="7" borderId="2" xfId="0" applyFont="1" applyFill="1" applyBorder="1" applyAlignment="1">
      <alignment horizontal="center" vertical="center"/>
    </xf>
    <xf numFmtId="3" fontId="22" fillId="5" borderId="2" xfId="0" applyNumberFormat="1" applyFont="1" applyFill="1" applyBorder="1" applyAlignment="1">
      <alignment horizontal="center" vertical="center"/>
    </xf>
    <xf numFmtId="188" fontId="21" fillId="5" borderId="2" xfId="0" applyNumberFormat="1" applyFont="1" applyFill="1" applyBorder="1" applyAlignment="1">
      <alignment horizontal="center" vertical="center"/>
    </xf>
    <xf numFmtId="4" fontId="20" fillId="5" borderId="2" xfId="0" applyNumberFormat="1" applyFont="1" applyFill="1" applyBorder="1" applyAlignment="1">
      <alignment horizontal="center" vertical="center"/>
    </xf>
    <xf numFmtId="4" fontId="19" fillId="5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0" xfId="0" applyFont="1"/>
    <xf numFmtId="0" fontId="7" fillId="6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87" fontId="7" fillId="5" borderId="1" xfId="0" applyNumberFormat="1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87" fontId="7" fillId="6" borderId="1" xfId="0" applyNumberFormat="1" applyFont="1" applyFill="1" applyBorder="1" applyAlignment="1">
      <alignment horizontal="center" vertical="center"/>
    </xf>
    <xf numFmtId="4" fontId="8" fillId="6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4" fontId="13" fillId="0" borderId="0" xfId="0" applyNumberFormat="1" applyFont="1"/>
    <xf numFmtId="0" fontId="14" fillId="0" borderId="0" xfId="0" applyFont="1"/>
    <xf numFmtId="0" fontId="2" fillId="2" borderId="1" xfId="0" applyFont="1" applyFill="1" applyBorder="1" applyAlignment="1">
      <alignment horizontal="center" vertical="center" wrapText="1"/>
    </xf>
    <xf numFmtId="4" fontId="15" fillId="5" borderId="1" xfId="0" applyNumberFormat="1" applyFont="1" applyFill="1" applyBorder="1" applyAlignment="1">
      <alignment horizontal="center" vertical="center"/>
    </xf>
    <xf numFmtId="4" fontId="7" fillId="5" borderId="1" xfId="0" applyNumberFormat="1" applyFont="1" applyFill="1" applyBorder="1" applyAlignment="1">
      <alignment horizontal="center" vertical="center"/>
    </xf>
    <xf numFmtId="188" fontId="8" fillId="5" borderId="1" xfId="0" applyNumberFormat="1" applyFont="1" applyFill="1" applyBorder="1" applyAlignment="1">
      <alignment horizontal="center" vertical="center"/>
    </xf>
    <xf numFmtId="4" fontId="15" fillId="6" borderId="1" xfId="0" applyNumberFormat="1" applyFont="1" applyFill="1" applyBorder="1" applyAlignment="1">
      <alignment horizontal="center" vertical="center"/>
    </xf>
    <xf numFmtId="4" fontId="7" fillId="6" borderId="1" xfId="0" applyNumberFormat="1" applyFont="1" applyFill="1" applyBorder="1" applyAlignment="1">
      <alignment horizontal="center" vertical="center"/>
    </xf>
    <xf numFmtId="188" fontId="8" fillId="6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4" fontId="9" fillId="5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4" fontId="9" fillId="6" borderId="1" xfId="0" applyNumberFormat="1" applyFont="1" applyFill="1" applyBorder="1" applyAlignment="1">
      <alignment horizontal="center" vertical="center"/>
    </xf>
    <xf numFmtId="3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horizontal="center" vertical="center"/>
    </xf>
    <xf numFmtId="188" fontId="17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18" fillId="5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9" fontId="23" fillId="6" borderId="1" xfId="0" applyNumberFormat="1" applyFont="1" applyFill="1" applyBorder="1"/>
    <xf numFmtId="9" fontId="25" fillId="5" borderId="1" xfId="0" applyNumberFormat="1" applyFont="1" applyFill="1" applyBorder="1" applyAlignment="1">
      <alignment horizontal="center" vertical="center"/>
    </xf>
    <xf numFmtId="4" fontId="26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9" fontId="25" fillId="6" borderId="1" xfId="0" applyNumberFormat="1" applyFont="1" applyFill="1" applyBorder="1" applyAlignment="1">
      <alignment horizontal="center" vertical="center"/>
    </xf>
    <xf numFmtId="4" fontId="26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24" fillId="0" borderId="0" xfId="0" applyFont="1"/>
    <xf numFmtId="0" fontId="1" fillId="3" borderId="0" xfId="0" applyFont="1" applyFill="1" applyAlignment="1">
      <alignment horizontal="center" vertical="center" wrapText="1"/>
    </xf>
    <xf numFmtId="0" fontId="27" fillId="5" borderId="0" xfId="0" applyFont="1" applyFill="1" applyAlignment="1">
      <alignment horizontal="left" vertical="center" wrapText="1"/>
    </xf>
    <xf numFmtId="0" fontId="27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D9D9D9"/>
      <rgbColor rgb="FF878787"/>
      <rgbColor rgb="FF9999FF"/>
      <rgbColor rgb="FFC0504D"/>
      <rgbColor rgb="FFFFF8F0"/>
      <rgbColor rgb="FFF5F5F5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DE9C0"/>
      <rgbColor rgb="FF99CCFF"/>
      <rgbColor rgb="FFFF99CC"/>
      <rgbColor rgb="FFCC99FF"/>
      <rgbColor rgb="FFFFCC99"/>
      <rgbColor rgb="FF4472C4"/>
      <rgbColor rgb="FF70AD47"/>
      <rgbColor rgb="FF9BBB59"/>
      <rgbColor rgb="FFFFD700"/>
      <rgbColor rgb="FFF5A623"/>
      <rgbColor rgb="FFED7D31"/>
      <rgbColor rgb="FF8064A2"/>
      <rgbColor rgb="FF888888"/>
      <rgbColor rgb="FF003366"/>
      <rgbColor rgb="FF2E7D32"/>
      <rgbColor rgb="FF212121"/>
      <rgbColor rgb="FF4A2C0A"/>
      <rgbColor rgb="FF7B4A1E"/>
      <rgbColor rgb="FFC62828"/>
      <rgbColor rgb="FF555555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h-TH" sz="1800" b="1" u="none" strike="noStrike">
                <a:solidFill>
                  <a:srgbClr val="000000"/>
                </a:solidFill>
                <a:uFillTx/>
                <a:latin typeface="Calibri"/>
              </a:rPr>
              <a:t>รายรับ / ต้นทุน / กำไร แยกเมนู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บันทึกรายรับ'!$E$3</c:f>
              <c:strCache>
                <c:ptCount val="1"/>
                <c:pt idx="0">
                  <c:v>รายรับ (฿)</c:v>
                </c:pt>
              </c:strCache>
            </c:strRef>
          </c:tx>
          <c:spPr>
            <a:solidFill>
              <a:srgbClr val="4472C4"/>
            </a:solidFill>
            <a:ln w="12600">
              <a:solidFill>
                <a:srgbClr val="4472C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h-TH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4472C4"/>
                      </a:solidFill>
                    </a:ln>
                  </c:spPr>
                </c15:leaderLines>
              </c:ext>
            </c:extLst>
          </c:dLbls>
          <c:cat>
            <c:strRef>
              <c:f>'📊 บันทึกรายรับ'!$A$4:$A$7</c:f>
              <c:strCache>
                <c:ptCount val="4"/>
                <c:pt idx="0">
                  <c:v>🍫 ธรรมดา 1 ชิ้น</c:v>
                </c:pt>
                <c:pt idx="1">
                  <c:v>🍫 ธรรมดา 2 ชิ้น (โปร)</c:v>
                </c:pt>
                <c:pt idx="2">
                  <c:v>🍯 นูเทลา 1 ชิ้น</c:v>
                </c:pt>
                <c:pt idx="3">
                  <c:v>🥜 เนยถั่ว 1 ชิ้น</c:v>
                </c:pt>
              </c:strCache>
            </c:strRef>
          </c:cat>
          <c:val>
            <c:numRef>
              <c:f>'📊 บันทึกรายรับ'!$E$4:$E$7</c:f>
              <c:numCache>
                <c:formatCode>#,##0.00</c:formatCode>
                <c:ptCount val="4"/>
                <c:pt idx="0">
                  <c:v>0</c:v>
                </c:pt>
                <c:pt idx="1">
                  <c:v>450</c:v>
                </c:pt>
                <c:pt idx="2">
                  <c:v>275</c:v>
                </c:pt>
                <c:pt idx="3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B-41F6-9629-4654C97BC70D}"/>
            </c:ext>
          </c:extLst>
        </c:ser>
        <c:ser>
          <c:idx val="1"/>
          <c:order val="1"/>
          <c:tx>
            <c:strRef>
              <c:f>'📊 บันทึกรายรับ'!$F$3</c:f>
              <c:strCache>
                <c:ptCount val="1"/>
                <c:pt idx="0">
                  <c:v>ต้นทุนรวม (฿)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ED7D3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h-TH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ED7D31"/>
                      </a:solidFill>
                    </a:ln>
                  </c:spPr>
                </c15:leaderLines>
              </c:ext>
            </c:extLst>
          </c:dLbls>
          <c:cat>
            <c:strRef>
              <c:f>'📊 บันทึกรายรับ'!$A$4:$A$7</c:f>
              <c:strCache>
                <c:ptCount val="4"/>
                <c:pt idx="0">
                  <c:v>🍫 ธรรมดา 1 ชิ้น</c:v>
                </c:pt>
                <c:pt idx="1">
                  <c:v>🍫 ธรรมดา 2 ชิ้น (โปร)</c:v>
                </c:pt>
                <c:pt idx="2">
                  <c:v>🍯 นูเทลา 1 ชิ้น</c:v>
                </c:pt>
                <c:pt idx="3">
                  <c:v>🥜 เนยถั่ว 1 ชิ้น</c:v>
                </c:pt>
              </c:strCache>
            </c:strRef>
          </c:cat>
          <c:val>
            <c:numRef>
              <c:f>'📊 บันทึกรายรับ'!$F$4:$F$7</c:f>
              <c:numCache>
                <c:formatCode>#,##0.00</c:formatCode>
                <c:ptCount val="4"/>
                <c:pt idx="0">
                  <c:v>0</c:v>
                </c:pt>
                <c:pt idx="1">
                  <c:v>166.1</c:v>
                </c:pt>
                <c:pt idx="2">
                  <c:v>113.05</c:v>
                </c:pt>
                <c:pt idx="3">
                  <c:v>90.174999999999997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B-41F6-9629-4654C97BC70D}"/>
            </c:ext>
          </c:extLst>
        </c:ser>
        <c:ser>
          <c:idx val="2"/>
          <c:order val="2"/>
          <c:tx>
            <c:strRef>
              <c:f>'📊 บันทึกรายรับ'!$G$3</c:f>
              <c:strCache>
                <c:ptCount val="1"/>
                <c:pt idx="0">
                  <c:v>กำไรสุทธิ (฿)</c:v>
                </c:pt>
              </c:strCache>
            </c:strRef>
          </c:tx>
          <c:spPr>
            <a:solidFill>
              <a:srgbClr val="70AD47"/>
            </a:solidFill>
            <a:ln w="12600">
              <a:solidFill>
                <a:srgbClr val="70AD4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h-TH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70AD47"/>
                      </a:solidFill>
                    </a:ln>
                  </c:spPr>
                </c15:leaderLines>
              </c:ext>
            </c:extLst>
          </c:dLbls>
          <c:cat>
            <c:strRef>
              <c:f>'📊 บันทึกรายรับ'!$A$4:$A$7</c:f>
              <c:strCache>
                <c:ptCount val="4"/>
                <c:pt idx="0">
                  <c:v>🍫 ธรรมดา 1 ชิ้น</c:v>
                </c:pt>
                <c:pt idx="1">
                  <c:v>🍫 ธรรมดา 2 ชิ้น (โปร)</c:v>
                </c:pt>
                <c:pt idx="2">
                  <c:v>🍯 นูเทลา 1 ชิ้น</c:v>
                </c:pt>
                <c:pt idx="3">
                  <c:v>🥜 เนยถั่ว 1 ชิ้น</c:v>
                </c:pt>
              </c:strCache>
            </c:strRef>
          </c:cat>
          <c:val>
            <c:numRef>
              <c:f>'📊 บันทึกรายรับ'!$G$4:$G$7</c:f>
              <c:numCache>
                <c:formatCode>#,##0.00</c:formatCode>
                <c:ptCount val="4"/>
                <c:pt idx="0">
                  <c:v>0</c:v>
                </c:pt>
                <c:pt idx="1">
                  <c:v>283.89999999999998</c:v>
                </c:pt>
                <c:pt idx="2">
                  <c:v>161.94999999999999</c:v>
                </c:pt>
                <c:pt idx="3">
                  <c:v>134.82499999999999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0B-41F6-9629-4654C97BC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03450"/>
        <c:axId val="143886"/>
      </c:barChart>
      <c:catAx>
        <c:axId val="249034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th-TH"/>
          </a:p>
        </c:txPr>
        <c:crossAx val="143886"/>
        <c:crosses val="autoZero"/>
        <c:auto val="1"/>
        <c:lblAlgn val="ctr"/>
        <c:lblOffset val="100"/>
        <c:noMultiLvlLbl val="0"/>
      </c:catAx>
      <c:valAx>
        <c:axId val="1438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th-TH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บาท (฿)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th-TH"/>
          </a:p>
        </c:txPr>
        <c:crossAx val="2490345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th-TH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h-TH" sz="1800" b="1" u="none" strike="noStrike">
                <a:solidFill>
                  <a:srgbClr val="000000"/>
                </a:solidFill>
                <a:uFillTx/>
                <a:latin typeface="Calibri"/>
              </a:rPr>
              <a:t>สัดส่วนกำไรแต่ละเมนู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'📊 บันทึกรายรับ'!$G$3</c:f>
              <c:strCache>
                <c:ptCount val="1"/>
                <c:pt idx="0">
                  <c:v>กำไรสุทธิ (฿)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2F2-4839-9C08-DC619E82CD6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2F2-4839-9C08-DC619E82CD6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260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2F2-4839-9C08-DC619E82CD6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1260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02F2-4839-9C08-DC619E82CD6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th-TH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2F2-4839-9C08-DC619E82CD6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th-TH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2F2-4839-9C08-DC619E82CD6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th-TH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2F2-4839-9C08-DC619E82CD6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th-TH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02F2-4839-9C08-DC619E82CD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th-TH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'📊 บันทึกรายรับ'!$A$4:$A$7</c:f>
              <c:strCache>
                <c:ptCount val="4"/>
                <c:pt idx="0">
                  <c:v>🍫 ธรรมดา 1 ชิ้น</c:v>
                </c:pt>
                <c:pt idx="1">
                  <c:v>🍫 ธรรมดา 2 ชิ้น (โปร)</c:v>
                </c:pt>
                <c:pt idx="2">
                  <c:v>🍯 นูเทลา 1 ชิ้น</c:v>
                </c:pt>
                <c:pt idx="3">
                  <c:v>🥜 เนยถั่ว 1 ชิ้น</c:v>
                </c:pt>
              </c:strCache>
            </c:strRef>
          </c:cat>
          <c:val>
            <c:numRef>
              <c:f>'📊 บันทึกรายรับ'!$G$4:$G$7</c:f>
              <c:numCache>
                <c:formatCode>#,##0.00</c:formatCode>
                <c:ptCount val="4"/>
                <c:pt idx="0">
                  <c:v>0</c:v>
                </c:pt>
                <c:pt idx="1">
                  <c:v>283.89999999999998</c:v>
                </c:pt>
                <c:pt idx="2">
                  <c:v>161.94999999999999</c:v>
                </c:pt>
                <c:pt idx="3">
                  <c:v>134.82499999999999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F2-4839-9C08-DC619E82C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th-TH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h-TH" sz="1800" b="1" u="none" strike="noStrike">
                <a:solidFill>
                  <a:srgbClr val="000000"/>
                </a:solidFill>
                <a:uFillTx/>
                <a:latin typeface="Calibri"/>
              </a:rPr>
              <a:t>อัตรากำไร % แยกเมนู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บันทึกรายรับ'!$H$3</c:f>
              <c:strCache>
                <c:ptCount val="1"/>
                <c:pt idx="0">
                  <c:v>กำไร %</c:v>
                </c:pt>
              </c:strCache>
            </c:strRef>
          </c:tx>
          <c:spPr>
            <a:solidFill>
              <a:srgbClr val="F5A623"/>
            </a:solidFill>
            <a:ln w="12600">
              <a:solidFill>
                <a:srgbClr val="4A2C0A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th-TH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4A2C0A"/>
                      </a:solidFill>
                    </a:ln>
                  </c:spPr>
                </c15:leaderLines>
              </c:ext>
            </c:extLst>
          </c:dLbls>
          <c:cat>
            <c:strRef>
              <c:f>'📊 บันทึกรายรับ'!$A$4:$A$7</c:f>
              <c:strCache>
                <c:ptCount val="4"/>
                <c:pt idx="0">
                  <c:v>🍫 ธรรมดา 1 ชิ้น</c:v>
                </c:pt>
                <c:pt idx="1">
                  <c:v>🍫 ธรรมดา 2 ชิ้น (โปร)</c:v>
                </c:pt>
                <c:pt idx="2">
                  <c:v>🍯 นูเทลา 1 ชิ้น</c:v>
                </c:pt>
                <c:pt idx="3">
                  <c:v>🥜 เนยถั่ว 1 ชิ้น</c:v>
                </c:pt>
              </c:strCache>
            </c:strRef>
          </c:cat>
          <c:val>
            <c:numRef>
              <c:f>'📊 บันทึกรายรับ'!$H$4:$H$7</c:f>
              <c:numCache>
                <c:formatCode>0.0%</c:formatCode>
                <c:ptCount val="4"/>
                <c:pt idx="0">
                  <c:v>0</c:v>
                </c:pt>
                <c:pt idx="1">
                  <c:v>0.63088888888888883</c:v>
                </c:pt>
                <c:pt idx="2">
                  <c:v>0.58890909090909083</c:v>
                </c:pt>
                <c:pt idx="3">
                  <c:v>0.59922222222222221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B-4383-802E-F86DE9B7A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750784"/>
        <c:axId val="86452634"/>
      </c:barChart>
      <c:catAx>
        <c:axId val="8875078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th-TH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กำไร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th-TH"/>
          </a:p>
        </c:txPr>
        <c:crossAx val="86452634"/>
        <c:crosses val="autoZero"/>
        <c:auto val="1"/>
        <c:lblAlgn val="ctr"/>
        <c:lblOffset val="100"/>
        <c:noMultiLvlLbl val="0"/>
      </c:catAx>
      <c:valAx>
        <c:axId val="864526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th-TH"/>
          </a:p>
        </c:txPr>
        <c:crossAx val="887507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th-TH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5</xdr:col>
      <xdr:colOff>65160</xdr:colOff>
      <xdr:row>36</xdr:row>
      <xdr:rowOff>128160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0</xdr:rowOff>
    </xdr:from>
    <xdr:to>
      <xdr:col>17</xdr:col>
      <xdr:colOff>147240</xdr:colOff>
      <xdr:row>36</xdr:row>
      <xdr:rowOff>128160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37</xdr:row>
      <xdr:rowOff>106680</xdr:rowOff>
    </xdr:from>
    <xdr:to>
      <xdr:col>5</xdr:col>
      <xdr:colOff>65160</xdr:colOff>
      <xdr:row>54</xdr:row>
      <xdr:rowOff>107400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zoomScaleNormal="100" workbookViewId="0">
      <selection activeCell="H13" sqref="H13"/>
    </sheetView>
  </sheetViews>
  <sheetFormatPr defaultColWidth="8.6640625" defaultRowHeight="14.4" x14ac:dyDescent="0.3"/>
  <cols>
    <col min="1" max="1" width="4" customWidth="1"/>
    <col min="2" max="2" width="28" customWidth="1"/>
    <col min="3" max="4" width="14" customWidth="1"/>
    <col min="5" max="5" width="9" customWidth="1"/>
    <col min="6" max="6" width="18" customWidth="1"/>
    <col min="7" max="7" width="22" customWidth="1"/>
    <col min="8" max="8" width="16" customWidth="1"/>
  </cols>
  <sheetData>
    <row r="1" spans="1:8" ht="36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9.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</row>
    <row r="4" spans="1:8" ht="21.75" customHeight="1" x14ac:dyDescent="0.3">
      <c r="A4" s="16">
        <v>1</v>
      </c>
      <c r="B4" s="17" t="s">
        <v>10</v>
      </c>
      <c r="C4" s="18">
        <v>120</v>
      </c>
      <c r="D4" s="19">
        <v>20</v>
      </c>
      <c r="E4" s="20" t="s">
        <v>11</v>
      </c>
      <c r="F4" s="21">
        <f t="shared" ref="F4:F10" si="0">C4/D4</f>
        <v>6</v>
      </c>
      <c r="G4" s="19">
        <v>1</v>
      </c>
      <c r="H4" s="22">
        <f t="shared" ref="H4:H10" si="1">F4*G4</f>
        <v>6</v>
      </c>
    </row>
    <row r="5" spans="1:8" ht="21.75" customHeight="1" x14ac:dyDescent="0.3">
      <c r="A5" s="23">
        <v>2</v>
      </c>
      <c r="B5" s="24" t="s">
        <v>12</v>
      </c>
      <c r="C5" s="25">
        <v>165</v>
      </c>
      <c r="D5" s="26">
        <v>50</v>
      </c>
      <c r="E5" s="27" t="s">
        <v>13</v>
      </c>
      <c r="F5" s="28">
        <f t="shared" si="0"/>
        <v>3.3</v>
      </c>
      <c r="G5" s="26">
        <v>1</v>
      </c>
      <c r="H5" s="29">
        <f t="shared" si="1"/>
        <v>3.3</v>
      </c>
    </row>
    <row r="6" spans="1:8" ht="21.75" customHeight="1" x14ac:dyDescent="0.3">
      <c r="A6" s="16">
        <v>3</v>
      </c>
      <c r="B6" s="17" t="s">
        <v>14</v>
      </c>
      <c r="C6" s="18">
        <v>41</v>
      </c>
      <c r="D6" s="19">
        <v>100</v>
      </c>
      <c r="E6" s="20" t="s">
        <v>15</v>
      </c>
      <c r="F6" s="21">
        <f t="shared" si="0"/>
        <v>0.41</v>
      </c>
      <c r="G6" s="19">
        <v>1</v>
      </c>
      <c r="H6" s="22">
        <f t="shared" si="1"/>
        <v>0.41</v>
      </c>
    </row>
    <row r="7" spans="1:8" ht="21.75" customHeight="1" x14ac:dyDescent="0.3">
      <c r="A7" s="23">
        <v>4</v>
      </c>
      <c r="B7" s="24" t="s">
        <v>16</v>
      </c>
      <c r="C7" s="25">
        <v>45</v>
      </c>
      <c r="D7" s="26">
        <v>100</v>
      </c>
      <c r="E7" s="27" t="s">
        <v>11</v>
      </c>
      <c r="F7" s="28">
        <f t="shared" si="0"/>
        <v>0.45</v>
      </c>
      <c r="G7" s="26">
        <v>1</v>
      </c>
      <c r="H7" s="29">
        <f t="shared" si="1"/>
        <v>0.45</v>
      </c>
    </row>
    <row r="8" spans="1:8" ht="21.75" customHeight="1" x14ac:dyDescent="0.3">
      <c r="A8" s="16">
        <v>5</v>
      </c>
      <c r="B8" s="30" t="s">
        <v>17</v>
      </c>
      <c r="C8" s="18">
        <v>40</v>
      </c>
      <c r="D8" s="19">
        <v>1000</v>
      </c>
      <c r="E8" s="20" t="s">
        <v>18</v>
      </c>
      <c r="F8" s="21">
        <f t="shared" si="0"/>
        <v>0.04</v>
      </c>
      <c r="G8" s="19">
        <v>30</v>
      </c>
      <c r="H8" s="22">
        <f t="shared" si="1"/>
        <v>1.2</v>
      </c>
    </row>
    <row r="9" spans="1:8" ht="21.75" customHeight="1" x14ac:dyDescent="0.3">
      <c r="A9" s="23">
        <v>6</v>
      </c>
      <c r="B9" s="31" t="s">
        <v>19</v>
      </c>
      <c r="C9" s="25">
        <v>150</v>
      </c>
      <c r="D9" s="26">
        <v>200</v>
      </c>
      <c r="E9" s="27" t="s">
        <v>18</v>
      </c>
      <c r="F9" s="28">
        <f t="shared" si="0"/>
        <v>0.75</v>
      </c>
      <c r="G9" s="26">
        <v>15</v>
      </c>
      <c r="H9" s="29">
        <f t="shared" si="1"/>
        <v>11.25</v>
      </c>
    </row>
    <row r="10" spans="1:8" ht="21.75" customHeight="1" x14ac:dyDescent="0.3">
      <c r="A10" s="16">
        <v>7</v>
      </c>
      <c r="B10" s="30" t="s">
        <v>20</v>
      </c>
      <c r="C10" s="18">
        <v>89</v>
      </c>
      <c r="D10" s="19">
        <v>200</v>
      </c>
      <c r="E10" s="20" t="s">
        <v>18</v>
      </c>
      <c r="F10" s="21">
        <f t="shared" si="0"/>
        <v>0.44500000000000001</v>
      </c>
      <c r="G10" s="19">
        <v>15</v>
      </c>
      <c r="H10" s="22">
        <f t="shared" si="1"/>
        <v>6.6749999999999998</v>
      </c>
    </row>
    <row r="12" spans="1:8" ht="18" customHeight="1" x14ac:dyDescent="0.3">
      <c r="A12" s="12" t="s">
        <v>21</v>
      </c>
      <c r="B12" s="12"/>
      <c r="C12" s="12"/>
      <c r="D12" s="12"/>
      <c r="E12" s="12"/>
      <c r="F12" s="12"/>
      <c r="G12" s="12"/>
      <c r="H12" s="12"/>
    </row>
  </sheetData>
  <mergeCells count="3">
    <mergeCell ref="A1:H1"/>
    <mergeCell ref="A2:H2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zoomScale="115" zoomScaleNormal="115" workbookViewId="0">
      <selection activeCell="L18" sqref="L18"/>
    </sheetView>
  </sheetViews>
  <sheetFormatPr defaultColWidth="8.6640625" defaultRowHeight="14.4" x14ac:dyDescent="0.3"/>
  <cols>
    <col min="1" max="1" width="32" customWidth="1"/>
    <col min="2" max="2" width="10" customWidth="1"/>
    <col min="3" max="3" width="11" customWidth="1"/>
    <col min="4" max="4" width="13" customWidth="1"/>
    <col min="5" max="5" width="12" customWidth="1"/>
    <col min="6" max="6" width="10" customWidth="1"/>
    <col min="7" max="8" width="13" customWidth="1"/>
    <col min="9" max="9" width="18" customWidth="1"/>
    <col min="10" max="10" width="14" customWidth="1"/>
    <col min="11" max="11" width="16" customWidth="1"/>
    <col min="12" max="12" width="10" customWidth="1"/>
  </cols>
  <sheetData>
    <row r="1" spans="1:12" ht="36" customHeight="1" x14ac:dyDescent="0.3">
      <c r="A1" s="14" t="s">
        <v>22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2" ht="21.75" customHeight="1" x14ac:dyDescent="0.3">
      <c r="A2" s="11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2" ht="21.75" customHeight="1" x14ac:dyDescent="0.3">
      <c r="A4" s="10" t="s">
        <v>24</v>
      </c>
      <c r="B4" s="10"/>
      <c r="C4" s="10"/>
      <c r="D4" s="10"/>
      <c r="E4" s="10"/>
      <c r="F4" s="10"/>
    </row>
    <row r="5" spans="1:12" ht="18" customHeight="1" x14ac:dyDescent="0.3">
      <c r="A5" s="9" t="s">
        <v>25</v>
      </c>
      <c r="B5" s="9"/>
      <c r="C5" s="32">
        <f>'🧾 วัตถุดิบ'!H4</f>
        <v>6</v>
      </c>
      <c r="D5" s="33" t="s">
        <v>26</v>
      </c>
    </row>
    <row r="6" spans="1:12" ht="18" customHeight="1" x14ac:dyDescent="0.3">
      <c r="A6" s="9" t="s">
        <v>27</v>
      </c>
      <c r="B6" s="9"/>
      <c r="C6" s="32">
        <f>'🧾 วัตถุดิบ'!H5</f>
        <v>3.3</v>
      </c>
      <c r="D6" s="33" t="s">
        <v>26</v>
      </c>
    </row>
    <row r="7" spans="1:12" ht="18" customHeight="1" x14ac:dyDescent="0.3">
      <c r="A7" s="9" t="s">
        <v>28</v>
      </c>
      <c r="B7" s="9"/>
      <c r="C7" s="32">
        <f>'🧾 วัตถุดิบ'!H6</f>
        <v>0.41</v>
      </c>
      <c r="D7" s="33" t="s">
        <v>26</v>
      </c>
    </row>
    <row r="8" spans="1:12" ht="18" customHeight="1" x14ac:dyDescent="0.3">
      <c r="A8" s="9" t="s">
        <v>29</v>
      </c>
      <c r="B8" s="9"/>
      <c r="C8" s="32">
        <f>'🧾 วัตถุดิบ'!H7</f>
        <v>0.45</v>
      </c>
      <c r="D8" s="33" t="s">
        <v>26</v>
      </c>
    </row>
    <row r="9" spans="1:12" ht="18" customHeight="1" x14ac:dyDescent="0.3">
      <c r="A9" s="9" t="s">
        <v>30</v>
      </c>
      <c r="B9" s="9"/>
      <c r="C9" s="32">
        <f>'🧾 วัตถุดิบ'!H8</f>
        <v>1.2</v>
      </c>
      <c r="D9" s="33" t="s">
        <v>26</v>
      </c>
    </row>
    <row r="10" spans="1:12" ht="18" customHeight="1" x14ac:dyDescent="0.3">
      <c r="A10" s="9" t="s">
        <v>31</v>
      </c>
      <c r="B10" s="9"/>
      <c r="C10" s="32">
        <f>'🧾 วัตถุดิบ'!H9</f>
        <v>11.25</v>
      </c>
      <c r="D10" s="33" t="s">
        <v>26</v>
      </c>
    </row>
    <row r="11" spans="1:12" ht="18" customHeight="1" x14ac:dyDescent="0.3">
      <c r="A11" s="9" t="s">
        <v>32</v>
      </c>
      <c r="B11" s="9"/>
      <c r="C11" s="32">
        <f>'🧾 วัตถุดิบ'!H10</f>
        <v>6.6749999999999998</v>
      </c>
      <c r="D11" s="33" t="s">
        <v>26</v>
      </c>
    </row>
    <row r="13" spans="1:12" ht="36" customHeight="1" x14ac:dyDescent="0.3">
      <c r="A13" s="34" t="s">
        <v>33</v>
      </c>
      <c r="B13" s="34" t="s">
        <v>34</v>
      </c>
      <c r="C13" s="34" t="s">
        <v>35</v>
      </c>
      <c r="D13" s="34" t="s">
        <v>36</v>
      </c>
      <c r="E13" s="34" t="s">
        <v>37</v>
      </c>
      <c r="F13" s="34" t="s">
        <v>38</v>
      </c>
      <c r="G13" s="34" t="s">
        <v>39</v>
      </c>
      <c r="H13" s="34" t="s">
        <v>40</v>
      </c>
      <c r="I13" s="34" t="s">
        <v>41</v>
      </c>
      <c r="J13" s="34" t="s">
        <v>42</v>
      </c>
      <c r="K13" s="34" t="s">
        <v>43</v>
      </c>
      <c r="L13" s="34" t="s">
        <v>44</v>
      </c>
    </row>
    <row r="14" spans="1:12" ht="21.75" customHeight="1" x14ac:dyDescent="0.3">
      <c r="A14" s="17" t="s">
        <v>45</v>
      </c>
      <c r="B14" s="16">
        <v>1</v>
      </c>
      <c r="C14" s="35">
        <f>('🧾 วัตถุดิบ'!H4)*1</f>
        <v>6</v>
      </c>
      <c r="D14" s="35">
        <f>'🧾 วัตถุดิบ'!H5</f>
        <v>3.3</v>
      </c>
      <c r="E14" s="35">
        <f>'🧾 วัตถุดิบ'!H6</f>
        <v>0.41</v>
      </c>
      <c r="F14" s="35">
        <f>('🧾 วัตถุดิบ'!H7)*1</f>
        <v>0.45</v>
      </c>
      <c r="G14" s="35" t="s">
        <v>46</v>
      </c>
      <c r="H14" s="35" t="s">
        <v>46</v>
      </c>
      <c r="I14" s="36">
        <f>C14+D14+E14+F14+G14+H14</f>
        <v>10.16</v>
      </c>
      <c r="J14" s="18">
        <v>25</v>
      </c>
      <c r="K14" s="22">
        <f>J14-I14</f>
        <v>14.84</v>
      </c>
      <c r="L14" s="37">
        <f>IF(J14&gt;0,K14/J14,0)</f>
        <v>0.59360000000000002</v>
      </c>
    </row>
    <row r="15" spans="1:12" ht="21.75" customHeight="1" x14ac:dyDescent="0.3">
      <c r="A15" s="24" t="s">
        <v>47</v>
      </c>
      <c r="B15" s="23">
        <v>2</v>
      </c>
      <c r="C15" s="38">
        <f>('🧾 วัตถุดิบ'!H4)*2</f>
        <v>12</v>
      </c>
      <c r="D15" s="38">
        <f>'🧾 วัตถุดิบ'!H5</f>
        <v>3.3</v>
      </c>
      <c r="E15" s="38">
        <f>'🧾 วัตถุดิบ'!H6</f>
        <v>0.41</v>
      </c>
      <c r="F15" s="38">
        <f>('🧾 วัตถุดิบ'!H7)*2</f>
        <v>0.9</v>
      </c>
      <c r="G15" s="38" t="s">
        <v>46</v>
      </c>
      <c r="H15" s="38" t="s">
        <v>46</v>
      </c>
      <c r="I15" s="39">
        <f>C15+D15+E15+F15+G15+H15</f>
        <v>16.61</v>
      </c>
      <c r="J15" s="25">
        <v>45</v>
      </c>
      <c r="K15" s="29">
        <f>J15-I15</f>
        <v>28.39</v>
      </c>
      <c r="L15" s="40">
        <f>IF(J15&gt;0,K15/J15,0)</f>
        <v>0.63088888888888894</v>
      </c>
    </row>
    <row r="16" spans="1:12" ht="21.75" customHeight="1" x14ac:dyDescent="0.3">
      <c r="A16" s="17" t="s">
        <v>48</v>
      </c>
      <c r="B16" s="16">
        <v>1</v>
      </c>
      <c r="C16" s="35">
        <f>('🧾 วัตถุดิบ'!H4)*1</f>
        <v>6</v>
      </c>
      <c r="D16" s="35">
        <f>'🧾 วัตถุดิบ'!H5</f>
        <v>3.3</v>
      </c>
      <c r="E16" s="35">
        <f>'🧾 วัตถุดิบ'!H6</f>
        <v>0.41</v>
      </c>
      <c r="F16" s="35">
        <f>('🧾 วัตถุดิบ'!H7)*1</f>
        <v>0.45</v>
      </c>
      <c r="G16" s="35">
        <f>('🧾 วัตถุดิบ'!H8)*1</f>
        <v>1.2</v>
      </c>
      <c r="H16" s="35">
        <f>'🧾 วัตถุดิบ'!H9</f>
        <v>11.25</v>
      </c>
      <c r="I16" s="36">
        <f>C16+D16+E16+F16+G16+H16</f>
        <v>22.61</v>
      </c>
      <c r="J16" s="18">
        <v>55</v>
      </c>
      <c r="K16" s="22">
        <f>J16-I16</f>
        <v>32.39</v>
      </c>
      <c r="L16" s="37">
        <f>IF(J16&gt;0,K16/J16,0)</f>
        <v>0.58890909090909094</v>
      </c>
    </row>
    <row r="17" spans="1:12" ht="21.75" customHeight="1" x14ac:dyDescent="0.3">
      <c r="A17" s="24" t="s">
        <v>49</v>
      </c>
      <c r="B17" s="23">
        <v>1</v>
      </c>
      <c r="C17" s="38">
        <f>('🧾 วัตถุดิบ'!H4)*1</f>
        <v>6</v>
      </c>
      <c r="D17" s="38">
        <f>'🧾 วัตถุดิบ'!H5</f>
        <v>3.3</v>
      </c>
      <c r="E17" s="38">
        <f>'🧾 วัตถุดิบ'!H6</f>
        <v>0.41</v>
      </c>
      <c r="F17" s="38">
        <f>('🧾 วัตถุดิบ'!H7)*1</f>
        <v>0.45</v>
      </c>
      <c r="G17" s="38">
        <f>('🧾 วัตถุดิบ'!H8)*1</f>
        <v>1.2</v>
      </c>
      <c r="H17" s="38">
        <f>'🧾 วัตถุดิบ'!H10</f>
        <v>6.6749999999999998</v>
      </c>
      <c r="I17" s="39">
        <f>C17+D17+E17+F17+G17+H17</f>
        <v>18.035</v>
      </c>
      <c r="J17" s="25">
        <v>45</v>
      </c>
      <c r="K17" s="29">
        <f>J17-I17</f>
        <v>26.965</v>
      </c>
      <c r="L17" s="40">
        <f>IF(J17&gt;0,K17/J17,0)</f>
        <v>0.59922222222222221</v>
      </c>
    </row>
    <row r="19" spans="1:12" ht="18" customHeight="1" x14ac:dyDescent="0.3">
      <c r="A19" s="12" t="s">
        <v>50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</sheetData>
  <mergeCells count="11">
    <mergeCell ref="A19:L19"/>
    <mergeCell ref="A7:B7"/>
    <mergeCell ref="A8:B8"/>
    <mergeCell ref="A9:B9"/>
    <mergeCell ref="A10:B10"/>
    <mergeCell ref="A11:B11"/>
    <mergeCell ref="A1:K1"/>
    <mergeCell ref="A2:K2"/>
    <mergeCell ref="A4:F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zoomScaleNormal="100" workbookViewId="0">
      <selection activeCell="E7" sqref="E7"/>
    </sheetView>
  </sheetViews>
  <sheetFormatPr defaultColWidth="8.6640625" defaultRowHeight="14.4" x14ac:dyDescent="0.3"/>
  <cols>
    <col min="1" max="1" width="28" customWidth="1"/>
    <col min="2" max="2" width="13" customWidth="1"/>
    <col min="3" max="3" width="16" customWidth="1"/>
    <col min="4" max="4" width="18" customWidth="1"/>
    <col min="5" max="7" width="16" customWidth="1"/>
    <col min="8" max="8" width="10" customWidth="1"/>
    <col min="9" max="9" width="2" customWidth="1"/>
  </cols>
  <sheetData>
    <row r="1" spans="1:9" ht="36" customHeight="1" x14ac:dyDescent="0.3">
      <c r="A1" s="14" t="s">
        <v>51</v>
      </c>
      <c r="B1" s="14"/>
      <c r="C1" s="14"/>
      <c r="D1" s="14"/>
      <c r="E1" s="14"/>
      <c r="F1" s="14"/>
      <c r="G1" s="14"/>
      <c r="H1" s="14"/>
      <c r="I1" s="14"/>
    </row>
    <row r="2" spans="1:9" ht="19.5" customHeight="1" x14ac:dyDescent="0.3">
      <c r="A2" s="13" t="s">
        <v>52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5" t="s">
        <v>33</v>
      </c>
      <c r="B3" s="15" t="s">
        <v>42</v>
      </c>
      <c r="C3" s="15" t="s">
        <v>41</v>
      </c>
      <c r="D3" s="15" t="s">
        <v>53</v>
      </c>
      <c r="E3" s="15" t="s">
        <v>54</v>
      </c>
      <c r="F3" s="15" t="s">
        <v>55</v>
      </c>
      <c r="G3" s="15" t="s">
        <v>56</v>
      </c>
      <c r="H3" s="15" t="s">
        <v>44</v>
      </c>
    </row>
    <row r="4" spans="1:9" ht="21.75" customHeight="1" x14ac:dyDescent="0.3">
      <c r="A4" s="17" t="s">
        <v>57</v>
      </c>
      <c r="B4" s="35">
        <f>'💰 ต้นทุน &amp; ราคาขาย'!J14</f>
        <v>25</v>
      </c>
      <c r="C4" s="35">
        <f>'💰 ต้นทุน &amp; ราคาขาย'!I14</f>
        <v>10.16</v>
      </c>
      <c r="D4" s="41"/>
      <c r="E4" s="42">
        <f>B4*D4</f>
        <v>0</v>
      </c>
      <c r="F4" s="42">
        <f>C4*D4</f>
        <v>0</v>
      </c>
      <c r="G4" s="22">
        <f>E4-F4</f>
        <v>0</v>
      </c>
      <c r="H4" s="37">
        <f>IF(E4&gt;0,G4/E4,0)</f>
        <v>0</v>
      </c>
    </row>
    <row r="5" spans="1:9" ht="21.75" customHeight="1" x14ac:dyDescent="0.3">
      <c r="A5" s="24" t="s">
        <v>58</v>
      </c>
      <c r="B5" s="38">
        <f>'💰 ต้นทุน &amp; ราคาขาย'!J15</f>
        <v>45</v>
      </c>
      <c r="C5" s="38">
        <f>'💰 ต้นทุน &amp; ราคาขาย'!I15</f>
        <v>16.61</v>
      </c>
      <c r="D5" s="43">
        <v>10</v>
      </c>
      <c r="E5" s="44">
        <f>B5*D5</f>
        <v>450</v>
      </c>
      <c r="F5" s="44">
        <f>C5*D5</f>
        <v>166.1</v>
      </c>
      <c r="G5" s="29">
        <f>E5-F5</f>
        <v>283.89999999999998</v>
      </c>
      <c r="H5" s="40">
        <f>IF(E5&gt;0,G5/E5,0)</f>
        <v>0.63088888888888883</v>
      </c>
    </row>
    <row r="6" spans="1:9" ht="21.75" customHeight="1" x14ac:dyDescent="0.3">
      <c r="A6" s="17" t="s">
        <v>59</v>
      </c>
      <c r="B6" s="35">
        <f>'💰 ต้นทุน &amp; ราคาขาย'!J16</f>
        <v>55</v>
      </c>
      <c r="C6" s="35">
        <f>'💰 ต้นทุน &amp; ราคาขาย'!I16</f>
        <v>22.61</v>
      </c>
      <c r="D6" s="41">
        <v>5</v>
      </c>
      <c r="E6" s="42">
        <f>B6*D6</f>
        <v>275</v>
      </c>
      <c r="F6" s="42">
        <f>C6*D6</f>
        <v>113.05</v>
      </c>
      <c r="G6" s="22">
        <f>E6-F6</f>
        <v>161.94999999999999</v>
      </c>
      <c r="H6" s="37">
        <f>IF(E6&gt;0,G6/E6,0)</f>
        <v>0.58890909090909083</v>
      </c>
    </row>
    <row r="7" spans="1:9" ht="21.75" customHeight="1" x14ac:dyDescent="0.3">
      <c r="A7" s="24" t="s">
        <v>60</v>
      </c>
      <c r="B7" s="38">
        <f>'💰 ต้นทุน &amp; ราคาขาย'!J17</f>
        <v>45</v>
      </c>
      <c r="C7" s="38">
        <f>'💰 ต้นทุน &amp; ราคาขาย'!I17</f>
        <v>18.035</v>
      </c>
      <c r="D7" s="43">
        <v>5</v>
      </c>
      <c r="E7" s="44">
        <f>B7*D7</f>
        <v>225</v>
      </c>
      <c r="F7" s="44">
        <f>C7*D7</f>
        <v>90.174999999999997</v>
      </c>
      <c r="G7" s="29">
        <f>E7-F7</f>
        <v>134.82499999999999</v>
      </c>
      <c r="H7" s="40">
        <f>IF(E7&gt;0,G7/E7,0)</f>
        <v>0.59922222222222221</v>
      </c>
    </row>
    <row r="8" spans="1:9" ht="27.75" customHeight="1" x14ac:dyDescent="0.3">
      <c r="A8" s="8" t="s">
        <v>61</v>
      </c>
      <c r="B8" s="8"/>
      <c r="C8" s="8"/>
      <c r="D8" s="45">
        <f>SUM(D4:D7)</f>
        <v>20</v>
      </c>
      <c r="E8" s="46">
        <f>SUM(E4:E7)</f>
        <v>950</v>
      </c>
      <c r="F8" s="46">
        <f>SUM(F4:F7)</f>
        <v>369.32499999999999</v>
      </c>
      <c r="G8" s="46">
        <f>SUM(G4:G7)</f>
        <v>580.67499999999995</v>
      </c>
      <c r="H8" s="47">
        <f>IF(E8&gt;0,G8/E8,0)</f>
        <v>0.61123684210526308</v>
      </c>
    </row>
    <row r="10" spans="1:9" ht="25.5" customHeight="1" x14ac:dyDescent="0.3">
      <c r="A10" s="14" t="s">
        <v>62</v>
      </c>
      <c r="B10" s="14"/>
      <c r="C10" s="14"/>
      <c r="D10" s="14"/>
      <c r="E10" s="14"/>
      <c r="F10" s="14"/>
      <c r="G10" s="14"/>
      <c r="H10" s="14"/>
      <c r="I10" s="14"/>
    </row>
    <row r="11" spans="1:9" ht="19.5" customHeight="1" x14ac:dyDescent="0.3">
      <c r="A11" s="48" t="s">
        <v>63</v>
      </c>
      <c r="B11" s="7" t="s">
        <v>64</v>
      </c>
      <c r="C11" s="7"/>
      <c r="D11" s="7" t="s">
        <v>65</v>
      </c>
      <c r="E11" s="7"/>
      <c r="F11" s="7" t="s">
        <v>66</v>
      </c>
      <c r="G11" s="7"/>
      <c r="H11" s="7" t="s">
        <v>67</v>
      </c>
      <c r="I11" s="7"/>
    </row>
    <row r="12" spans="1:9" ht="33.75" customHeight="1" x14ac:dyDescent="0.3">
      <c r="A12" s="49">
        <f>E8</f>
        <v>950</v>
      </c>
      <c r="B12" s="6">
        <f>F8</f>
        <v>369.32499999999999</v>
      </c>
      <c r="C12" s="6"/>
      <c r="D12" s="5">
        <f>G8</f>
        <v>580.67499999999995</v>
      </c>
      <c r="E12" s="5"/>
      <c r="F12" s="4">
        <f>IF(E8&gt;0,G8/E8,0)</f>
        <v>0.61123684210526308</v>
      </c>
      <c r="G12" s="4"/>
      <c r="H12" s="3">
        <f>D8</f>
        <v>20</v>
      </c>
      <c r="I12" s="3"/>
    </row>
    <row r="13" spans="1:9" ht="15.75" customHeight="1" x14ac:dyDescent="0.3">
      <c r="A13" s="50" t="s">
        <v>68</v>
      </c>
      <c r="B13" s="2" t="s">
        <v>68</v>
      </c>
      <c r="C13" s="2"/>
      <c r="D13" s="2" t="s">
        <v>68</v>
      </c>
      <c r="E13" s="2"/>
      <c r="F13" s="2"/>
      <c r="G13" s="2"/>
      <c r="H13" s="2" t="s">
        <v>13</v>
      </c>
      <c r="I13" s="2"/>
    </row>
  </sheetData>
  <mergeCells count="16">
    <mergeCell ref="B12:C12"/>
    <mergeCell ref="D12:E12"/>
    <mergeCell ref="F12:G12"/>
    <mergeCell ref="H12:I12"/>
    <mergeCell ref="B13:C13"/>
    <mergeCell ref="D13:E13"/>
    <mergeCell ref="F13:G13"/>
    <mergeCell ref="H13:I13"/>
    <mergeCell ref="A1:I1"/>
    <mergeCell ref="A2:I2"/>
    <mergeCell ref="A8:C8"/>
    <mergeCell ref="A10:I10"/>
    <mergeCell ref="B11:C11"/>
    <mergeCell ref="D11:E11"/>
    <mergeCell ref="F11:G11"/>
    <mergeCell ref="H11:I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zoomScaleNormal="100" workbookViewId="0">
      <selection activeCell="D21" sqref="D21"/>
    </sheetView>
  </sheetViews>
  <sheetFormatPr defaultColWidth="8.6640625" defaultRowHeight="14.4" x14ac:dyDescent="0.3"/>
  <cols>
    <col min="1" max="1" width="30" customWidth="1"/>
    <col min="2" max="3" width="16" customWidth="1"/>
    <col min="4" max="4" width="10" customWidth="1"/>
    <col min="5" max="5" width="18" customWidth="1"/>
    <col min="6" max="6" width="20" customWidth="1"/>
    <col min="7" max="7" width="18" customWidth="1"/>
    <col min="8" max="8" width="10" customWidth="1"/>
  </cols>
  <sheetData>
    <row r="1" spans="1:10" ht="36" customHeight="1" x14ac:dyDescent="0.3">
      <c r="A1" s="14" t="s">
        <v>69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4" customHeight="1" x14ac:dyDescent="0.3">
      <c r="A2" s="1" t="s">
        <v>70</v>
      </c>
      <c r="B2" s="1"/>
      <c r="C2" s="51">
        <v>0.3</v>
      </c>
      <c r="D2" s="58" t="s">
        <v>71</v>
      </c>
      <c r="E2" s="58"/>
      <c r="F2" s="58"/>
      <c r="G2" s="58"/>
      <c r="H2" s="58"/>
      <c r="I2" s="58"/>
      <c r="J2" s="58"/>
    </row>
    <row r="4" spans="1:10" ht="39.75" customHeight="1" x14ac:dyDescent="0.3">
      <c r="A4" s="34" t="s">
        <v>33</v>
      </c>
      <c r="B4" s="34" t="s">
        <v>72</v>
      </c>
      <c r="C4" s="34" t="s">
        <v>41</v>
      </c>
      <c r="D4" s="34" t="s">
        <v>73</v>
      </c>
      <c r="E4" s="34" t="s">
        <v>74</v>
      </c>
      <c r="F4" s="34" t="s">
        <v>75</v>
      </c>
      <c r="G4" s="34" t="s">
        <v>76</v>
      </c>
      <c r="H4" s="34" t="s">
        <v>44</v>
      </c>
    </row>
    <row r="5" spans="1:10" ht="21.75" customHeight="1" x14ac:dyDescent="0.3">
      <c r="A5" s="17" t="str">
        <f>'💰 ต้นทุน &amp; ราคาขาย'!A14</f>
        <v>🍫 ธรรมดา — 1 ชิ้น/กล่อง</v>
      </c>
      <c r="B5" s="42">
        <f>'💰 ต้นทุน &amp; ราคาขาย'!J14</f>
        <v>25</v>
      </c>
      <c r="C5" s="42">
        <f>'💰 ต้นทุน &amp; ราคาขาย'!I14</f>
        <v>10.16</v>
      </c>
      <c r="D5" s="52">
        <f>$C$2</f>
        <v>0.3</v>
      </c>
      <c r="E5" s="53">
        <f>'💰 ต้นทุน &amp; ราคาขาย'!J14/(1-$C$2)</f>
        <v>35.714285714285715</v>
      </c>
      <c r="F5" s="54">
        <v>36</v>
      </c>
      <c r="G5" s="42">
        <f>F5*(1-$C$2)-C5</f>
        <v>15.04</v>
      </c>
      <c r="H5" s="37">
        <f>IF(F5&gt;0,G5/F5,0)</f>
        <v>0.41777777777777775</v>
      </c>
    </row>
    <row r="6" spans="1:10" ht="21.75" customHeight="1" x14ac:dyDescent="0.3">
      <c r="A6" s="24" t="str">
        <f>'💰 ต้นทุน &amp; ราคาขาย'!A15</f>
        <v>🍫 ธรรมดา — 2 ชิ้น/กล่อง (โปร)</v>
      </c>
      <c r="B6" s="44">
        <f>'💰 ต้นทุน &amp; ราคาขาย'!J15</f>
        <v>45</v>
      </c>
      <c r="C6" s="44">
        <f>'💰 ต้นทุน &amp; ราคาขาย'!I15</f>
        <v>16.61</v>
      </c>
      <c r="D6" s="55">
        <f>$C$2</f>
        <v>0.3</v>
      </c>
      <c r="E6" s="56">
        <f>'💰 ต้นทุน &amp; ราคาขาย'!J15/(1-$C$2)</f>
        <v>64.285714285714292</v>
      </c>
      <c r="F6" s="57">
        <v>59</v>
      </c>
      <c r="G6" s="44">
        <f>F6*(1-$C$2)-C6</f>
        <v>24.689999999999998</v>
      </c>
      <c r="H6" s="40">
        <f>IF(F6&gt;0,G6/F6,0)</f>
        <v>0.41847457627118639</v>
      </c>
    </row>
    <row r="7" spans="1:10" ht="21.75" customHeight="1" x14ac:dyDescent="0.3">
      <c r="A7" s="17" t="str">
        <f>'💰 ต้นทุน &amp; ราคาขาย'!A16</f>
        <v>🍯 นูเทลา — 1 ชิ้น/กล่อง</v>
      </c>
      <c r="B7" s="42">
        <f>'💰 ต้นทุน &amp; ราคาขาย'!J16</f>
        <v>55</v>
      </c>
      <c r="C7" s="42">
        <f>'💰 ต้นทุน &amp; ราคาขาย'!I16</f>
        <v>22.61</v>
      </c>
      <c r="D7" s="52">
        <f>$C$2</f>
        <v>0.3</v>
      </c>
      <c r="E7" s="53">
        <f>'💰 ต้นทุน &amp; ราคาขาย'!J16/(1-$C$2)</f>
        <v>78.571428571428569</v>
      </c>
      <c r="F7" s="54">
        <v>79</v>
      </c>
      <c r="G7" s="42">
        <f>F7*(1-$C$2)-C7</f>
        <v>32.69</v>
      </c>
      <c r="H7" s="37">
        <f>IF(F7&gt;0,G7/F7,0)</f>
        <v>0.41379746835443038</v>
      </c>
    </row>
    <row r="8" spans="1:10" ht="21.75" customHeight="1" x14ac:dyDescent="0.3">
      <c r="A8" s="24" t="str">
        <f>'💰 ต้นทุน &amp; ราคาขาย'!A17</f>
        <v>🥜 เนยถั่ว — 1 ชิ้น/กล่อง</v>
      </c>
      <c r="B8" s="44">
        <f>'💰 ต้นทุน &amp; ราคาขาย'!J17</f>
        <v>45</v>
      </c>
      <c r="C8" s="44">
        <f>'💰 ต้นทุน &amp; ราคาขาย'!I17</f>
        <v>18.035</v>
      </c>
      <c r="D8" s="55">
        <f>$C$2</f>
        <v>0.3</v>
      </c>
      <c r="E8" s="56">
        <f>'💰 ต้นทุน &amp; ราคาขาย'!J17/(1-$C$2)</f>
        <v>64.285714285714292</v>
      </c>
      <c r="F8" s="57">
        <v>65</v>
      </c>
      <c r="G8" s="44">
        <f>F8*(1-$C$2)-C8</f>
        <v>27.465</v>
      </c>
      <c r="H8" s="40">
        <f>IF(F8&gt;0,G8/F8,0)</f>
        <v>0.42253846153846153</v>
      </c>
    </row>
    <row r="11" spans="1:10" ht="24" customHeight="1" x14ac:dyDescent="0.3">
      <c r="A11" s="59" t="s">
        <v>77</v>
      </c>
      <c r="B11" s="59"/>
      <c r="C11" s="59"/>
      <c r="D11" s="59"/>
      <c r="E11" s="59"/>
      <c r="F11" s="59"/>
      <c r="G11" s="59"/>
      <c r="H11" s="59"/>
      <c r="I11" s="59"/>
      <c r="J11" s="59"/>
    </row>
    <row r="12" spans="1:10" ht="19.5" customHeight="1" x14ac:dyDescent="0.3">
      <c r="A12" s="60" t="s">
        <v>78</v>
      </c>
      <c r="B12" s="60"/>
      <c r="C12" s="60"/>
      <c r="D12" s="60"/>
      <c r="E12" s="60"/>
      <c r="F12" s="60"/>
      <c r="G12" s="60"/>
      <c r="H12" s="60"/>
      <c r="I12" s="60"/>
      <c r="J12" s="60"/>
    </row>
    <row r="13" spans="1:10" ht="19.5" customHeight="1" x14ac:dyDescent="0.3">
      <c r="A13" s="61" t="s">
        <v>79</v>
      </c>
      <c r="B13" s="61"/>
      <c r="C13" s="61"/>
      <c r="D13" s="61"/>
      <c r="E13" s="61"/>
      <c r="F13" s="61"/>
      <c r="G13" s="61"/>
      <c r="H13" s="61"/>
      <c r="I13" s="61"/>
      <c r="J13" s="61"/>
    </row>
    <row r="14" spans="1:10" ht="19.5" customHeight="1" x14ac:dyDescent="0.3">
      <c r="A14" s="60" t="s">
        <v>80</v>
      </c>
      <c r="B14" s="60"/>
      <c r="C14" s="60"/>
      <c r="D14" s="60"/>
      <c r="E14" s="60"/>
      <c r="F14" s="60"/>
      <c r="G14" s="60"/>
      <c r="H14" s="60"/>
      <c r="I14" s="60"/>
      <c r="J14" s="60"/>
    </row>
    <row r="15" spans="1:10" ht="19.5" customHeight="1" x14ac:dyDescent="0.3">
      <c r="A15" s="61" t="s">
        <v>81</v>
      </c>
      <c r="B15" s="61"/>
      <c r="C15" s="61"/>
      <c r="D15" s="61"/>
      <c r="E15" s="61"/>
      <c r="F15" s="61"/>
      <c r="G15" s="61"/>
      <c r="H15" s="61"/>
      <c r="I15" s="61"/>
      <c r="J15" s="61"/>
    </row>
    <row r="16" spans="1:10" ht="19.5" customHeight="1" x14ac:dyDescent="0.3">
      <c r="A16" s="60" t="s">
        <v>82</v>
      </c>
      <c r="B16" s="60"/>
      <c r="C16" s="60"/>
      <c r="D16" s="60"/>
      <c r="E16" s="60"/>
      <c r="F16" s="60"/>
      <c r="G16" s="60"/>
      <c r="H16" s="60"/>
      <c r="I16" s="60"/>
      <c r="J16" s="60"/>
    </row>
    <row r="17" spans="1:10" ht="19.5" customHeight="1" x14ac:dyDescent="0.3">
      <c r="A17" s="61" t="s">
        <v>83</v>
      </c>
      <c r="B17" s="61"/>
      <c r="C17" s="61"/>
      <c r="D17" s="61"/>
      <c r="E17" s="61"/>
      <c r="F17" s="61"/>
      <c r="G17" s="61"/>
      <c r="H17" s="61"/>
      <c r="I17" s="61"/>
      <c r="J17" s="61"/>
    </row>
  </sheetData>
  <mergeCells count="10">
    <mergeCell ref="A13:J13"/>
    <mergeCell ref="A14:J14"/>
    <mergeCell ref="A15:J15"/>
    <mergeCell ref="A16:J16"/>
    <mergeCell ref="A17:J17"/>
    <mergeCell ref="A1:J1"/>
    <mergeCell ref="A2:B2"/>
    <mergeCell ref="D2:J2"/>
    <mergeCell ref="A11:J11"/>
    <mergeCell ref="A12:J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🧾 วัตถุดิบ</vt:lpstr>
      <vt:lpstr>💰 ต้นทุน &amp; ราคาขาย</vt:lpstr>
      <vt:lpstr>📊 บันทึกรายรับ</vt:lpstr>
      <vt:lpstr>🚀 แอปเดลิเวอรี่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Piyachai C</cp:lastModifiedBy>
  <cp:revision>2</cp:revision>
  <dcterms:created xsi:type="dcterms:W3CDTF">2026-05-10T15:27:14Z</dcterms:created>
  <dcterms:modified xsi:type="dcterms:W3CDTF">2026-05-10T15:33:08Z</dcterms:modified>
  <dc:language>en-US</dc:language>
</cp:coreProperties>
</file>
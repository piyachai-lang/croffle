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Claude AI\Food Delivery\Croffle\"/>
    </mc:Choice>
  </mc:AlternateContent>
  <xr:revisionPtr revIDLastSave="0" documentId="13_ncr:1_{83B47829-EC0D-4DF5-8C76-C00828A76147}" xr6:coauthVersionLast="47" xr6:coauthVersionMax="47" xr10:uidLastSave="{00000000-0000-0000-0000-000000000000}"/>
  <bookViews>
    <workbookView xWindow="3876" yWindow="1860" windowWidth="22020" windowHeight="12120" tabRatio="500" xr2:uid="{00000000-000D-0000-FFFF-FFFF00000000}"/>
  </bookViews>
  <sheets>
    <sheet name="กรอกยอดขาย" sheetId="1" r:id="rId1"/>
    <sheet name="ตนทุนครอฟเฟิล" sheetId="2" r:id="rId2"/>
    <sheet name="ตนทุนขนมจีน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5" i="3" l="1"/>
  <c r="F14" i="3"/>
  <c r="F13" i="3"/>
  <c r="F12" i="3"/>
  <c r="F11" i="3"/>
  <c r="F10" i="3"/>
  <c r="F9" i="3"/>
  <c r="F8" i="3"/>
  <c r="F7" i="3"/>
  <c r="F6" i="3"/>
  <c r="F5" i="3"/>
  <c r="F4" i="3"/>
  <c r="F16" i="3" s="1"/>
  <c r="F3" i="3"/>
  <c r="D6" i="2"/>
  <c r="E6" i="2" s="1"/>
  <c r="E5" i="2"/>
  <c r="D5" i="2"/>
  <c r="E4" i="2"/>
  <c r="D4" i="2"/>
  <c r="D3" i="2"/>
  <c r="E3" i="2" s="1"/>
  <c r="D14" i="1"/>
  <c r="E11" i="1"/>
  <c r="F9" i="1"/>
  <c r="E9" i="1"/>
  <c r="G9" i="1" s="1"/>
  <c r="C9" i="1"/>
  <c r="B9" i="1"/>
  <c r="F8" i="1"/>
  <c r="C8" i="1"/>
  <c r="B8" i="1"/>
  <c r="E8" i="1" s="1"/>
  <c r="G8" i="1" s="1"/>
  <c r="C7" i="1"/>
  <c r="F7" i="1" s="1"/>
  <c r="B7" i="1"/>
  <c r="E7" i="1" s="1"/>
  <c r="G7" i="1" s="1"/>
  <c r="E6" i="1"/>
  <c r="C6" i="1"/>
  <c r="F6" i="1" s="1"/>
  <c r="B6" i="1"/>
  <c r="F17" i="3" l="1"/>
  <c r="C11" i="1"/>
  <c r="F11" i="1" s="1"/>
  <c r="F14" i="1"/>
  <c r="G11" i="1"/>
  <c r="G6" i="1"/>
  <c r="E14" i="1"/>
  <c r="D17" i="1" s="1"/>
  <c r="G14" i="1" l="1"/>
  <c r="D16" i="1" s="1"/>
</calcChain>
</file>

<file path=xl/sharedStrings.xml><?xml version="1.0" encoding="utf-8"?>
<sst xmlns="http://schemas.openxmlformats.org/spreadsheetml/2006/main" count="78" uniqueCount="66">
  <si>
    <t>CROFFLE &amp; ขนมจีนน้ำเงี้ยว  บันทึกยอดขาย</t>
  </si>
  <si>
    <t>วันที่</t>
  </si>
  <si>
    <t>กรอกจำนวนในช่องสีฟ้า  ตัวเลขอื่นคำนวณอัตโนมัติ</t>
  </si>
  <si>
    <t>เมนู</t>
  </si>
  <si>
    <t>ราคาขาย
(฿)</t>
  </si>
  <si>
    <t>ต้นทุน
(฿)</t>
  </si>
  <si>
    <t>จำนวน
(กล่อง/ถ้วย)</t>
  </si>
  <si>
    <t>รายรับ
(฿)</t>
  </si>
  <si>
    <t>ต้นทุนรวม
(฿)</t>
  </si>
  <si>
    <t>กำไร
(฿)</t>
  </si>
  <si>
    <t>🥐  ครอฟเฟิล</t>
  </si>
  <si>
    <t>🍫 หวานน้อย  ธรรมดา</t>
  </si>
  <si>
    <t>🍫 หวานปกติ  ธรรมดา</t>
  </si>
  <si>
    <t>🍯 นูเทลา  นูเทลา</t>
  </si>
  <si>
    <t>🥜 เนยถั่ว  เนยถั่ว</t>
  </si>
  <si>
    <t>🍜  ขนมจีนน้ำเงี้ยว</t>
  </si>
  <si>
    <t>✅  ขนมจีนน้ำเงี้ยว: ต้นทุน ~42.33 ฿  กำไร ~17.67 ฿ (29.5%)  ราคาขาย 60 ฿ เหมาะสมแล้ว</t>
  </si>
  <si>
    <t>รวมทั้งหมด</t>
  </si>
  <si>
    <t>กำไรสุทธิวันนี้</t>
  </si>
  <si>
    <t>อัตรากำไร (%)</t>
  </si>
  <si>
    <t>ครอฟเฟิล — ราคาขายและต้นทุน</t>
  </si>
  <si>
    <t>ราคาขาย (฿)</t>
  </si>
  <si>
    <t>ต้นทุน (฿)</t>
  </si>
  <si>
    <t>กำไร (฿)</t>
  </si>
  <si>
    <t>กำไร %</t>
  </si>
  <si>
    <t>ธรรมดา หวานน้อย  (2 ชิ้น/กล่อง)</t>
  </si>
  <si>
    <t>ธรรมดา หวานปกติ  (2 ชิ้น/กล่อง)</t>
  </si>
  <si>
    <t>นูเทลา  (1 ชิ้น/กล่อง)</t>
  </si>
  <si>
    <t>เนยถั่ว  (1 ชิ้น/กล่อง)</t>
  </si>
  <si>
    <t>ขนมจีนน้ำเงี้ยว — ต้นทุนต่อถ้วย</t>
  </si>
  <si>
    <t>วัตถุดิบ</t>
  </si>
  <si>
    <t>ราคา (฿)</t>
  </si>
  <si>
    <t>ปริมาณ</t>
  </si>
  <si>
    <t>หน่วย</t>
  </si>
  <si>
    <t>ถ้วยที่ได้</t>
  </si>
  <si>
    <t>ต้นทุน/ถ้วย</t>
  </si>
  <si>
    <t>หมายเหตุ</t>
  </si>
  <si>
    <t>เส้นขนมจีน</t>
  </si>
  <si>
    <t>kg</t>
  </si>
  <si>
    <t>150 g/ถ้วย</t>
  </si>
  <si>
    <t>มะเขือเทศ</t>
  </si>
  <si>
    <t>ชุด</t>
  </si>
  <si>
    <t>น้ำพริก</t>
  </si>
  <si>
    <t>g</t>
  </si>
  <si>
    <t>10 g/ถ้วย</t>
  </si>
  <si>
    <t>เลือด</t>
  </si>
  <si>
    <t>80 g/ถ้วย</t>
  </si>
  <si>
    <t>ซี่โครงหมู</t>
  </si>
  <si>
    <t>112 g/ถ้วย</t>
  </si>
  <si>
    <t>ผักดอง</t>
  </si>
  <si>
    <t>20 g/ถ้วย</t>
  </si>
  <si>
    <t>ถั่วงอก</t>
  </si>
  <si>
    <t>25 g/ถ้วย</t>
  </si>
  <si>
    <t>มะนาว</t>
  </si>
  <si>
    <t>ลูก</t>
  </si>
  <si>
    <t>1/4 ลูก/ถ้วย</t>
  </si>
  <si>
    <t>กระเทียม</t>
  </si>
  <si>
    <t>พริกป่น</t>
  </si>
  <si>
    <t>กล่อง</t>
  </si>
  <si>
    <t>ใบ</t>
  </si>
  <si>
    <t>1 ใบ/ถ้วย</t>
  </si>
  <si>
    <t>ถุงใหญ่</t>
  </si>
  <si>
    <t>ถุงเล็ก</t>
  </si>
  <si>
    <t>รวมต้นทุน/ถ้วย</t>
  </si>
  <si>
    <t>กำไร/ถ้วย (ขายที่ 60 บาท)</t>
  </si>
  <si>
    <t>✅  ต้นทุนใหม่ ~42.33 ฿/ถ้วย  |  กำไร ~17.67 ฿ (29.5%)  |  ราคาขาย 60 ฿ เหมาะสม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</si>
</sst>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7" formatCode="dd/mm/yyyy"/>
    <numFmt numFmtId="188" formatCode="#,##0.00&quot; ฿&quot;"/>
    <numFmt numFmtId="189" formatCode="0.0%"/>
    <numFmt numFmtId="190" formatCode="#,##0.##"/>
  </numFmts>
  <fonts count="32" x14ac:knownFonts="1">
    <font>
      <sz val="11"/>
      <color theme="1"/>
      <name val="Calibri"/>
      <family val="2"/>
      <charset val="1"/>
    </font>
    <font>
      <b/>
      <sz val="15"/>
      <color rgb="FFF5A623"/>
      <name val="Arial"/>
      <charset val="1"/>
    </font>
    <font>
      <b/>
      <sz val="12"/>
      <color rgb="FF7B4A1E"/>
      <name val="Arial"/>
      <charset val="1"/>
    </font>
    <font>
      <b/>
      <sz val="12"/>
      <color rgb="FF1565C0"/>
      <name val="Arial"/>
      <charset val="1"/>
    </font>
    <font>
      <i/>
      <sz val="10"/>
      <color rgb="FF666666"/>
      <name val="Arial"/>
      <charset val="1"/>
    </font>
    <font>
      <b/>
      <sz val="10"/>
      <color rgb="FFFFFFFF"/>
      <name val="Arial"/>
      <charset val="1"/>
    </font>
    <font>
      <b/>
      <sz val="11"/>
      <color rgb="FFFFFFFF"/>
      <name val="Arial"/>
      <charset val="1"/>
    </font>
    <font>
      <b/>
      <sz val="11"/>
      <color rgb="FF4A2C0A"/>
      <name val="Arial"/>
      <charset val="1"/>
    </font>
    <font>
      <b/>
      <sz val="12"/>
      <color rgb="FF2E7D32"/>
      <name val="Arial"/>
      <charset val="1"/>
    </font>
    <font>
      <sz val="11"/>
      <color rgb="FFC62828"/>
      <name val="Arial"/>
      <charset val="1"/>
    </font>
    <font>
      <b/>
      <sz val="18"/>
      <color rgb="FF1565C0"/>
      <name val="Arial"/>
      <charset val="1"/>
    </font>
    <font>
      <sz val="11"/>
      <color rgb="FF666666"/>
      <name val="Arial"/>
      <charset val="1"/>
    </font>
    <font>
      <b/>
      <sz val="13"/>
      <color rgb="FF2E7D32"/>
      <name val="Arial"/>
      <charset val="1"/>
    </font>
    <font>
      <b/>
      <sz val="11"/>
      <color rgb="FF00695C"/>
      <name val="Arial"/>
      <charset val="1"/>
    </font>
    <font>
      <b/>
      <sz val="12"/>
      <color rgb="FF00695C"/>
      <name val="Arial"/>
      <charset val="1"/>
    </font>
    <font>
      <b/>
      <sz val="10"/>
      <color rgb="FF2E7D32"/>
      <name val="Arial"/>
      <charset val="1"/>
    </font>
    <font>
      <b/>
      <sz val="14"/>
      <color rgb="FFFFFFFF"/>
      <name val="Arial"/>
      <charset val="1"/>
    </font>
    <font>
      <b/>
      <sz val="14"/>
      <color rgb="FFF5A623"/>
      <name val="Arial"/>
      <charset val="1"/>
    </font>
    <font>
      <b/>
      <sz val="16"/>
      <color rgb="FF81C784"/>
      <name val="Arial"/>
      <charset val="1"/>
    </font>
    <font>
      <b/>
      <sz val="13"/>
      <color rgb="FFFFFFFF"/>
      <name val="Arial"/>
      <charset val="1"/>
    </font>
    <font>
      <b/>
      <sz val="26"/>
      <color rgb="FF2E7D32"/>
      <name val="Arial"/>
      <charset val="1"/>
    </font>
    <font>
      <b/>
      <sz val="12"/>
      <color rgb="FF4A2C0A"/>
      <name val="Arial"/>
      <charset val="1"/>
    </font>
    <font>
      <b/>
      <sz val="20"/>
      <color rgb="FF2E7D32"/>
      <name val="Arial"/>
      <charset val="1"/>
    </font>
    <font>
      <b/>
      <sz val="13"/>
      <color rgb="FFC62828"/>
      <name val="Arial"/>
      <charset val="1"/>
    </font>
    <font>
      <b/>
      <sz val="13"/>
      <color rgb="FF1565C0"/>
      <name val="Arial"/>
      <charset val="1"/>
    </font>
    <font>
      <b/>
      <sz val="13"/>
      <color rgb="FF7B4A1E"/>
      <name val="Arial"/>
      <charset val="1"/>
    </font>
    <font>
      <b/>
      <sz val="10"/>
      <color rgb="FFF5A623"/>
      <name val="Arial"/>
      <charset val="1"/>
    </font>
    <font>
      <sz val="12"/>
      <color rgb="FF444444"/>
      <name val="Arial"/>
      <charset val="1"/>
    </font>
    <font>
      <sz val="12"/>
      <color rgb="FF666666"/>
      <name val="Arial"/>
      <charset val="1"/>
    </font>
    <font>
      <sz val="9"/>
      <color rgb="FF888888"/>
      <name val="Arial"/>
      <charset val="1"/>
    </font>
    <font>
      <b/>
      <sz val="16"/>
      <color rgb="FFF5A623"/>
      <name val="Arial"/>
      <charset val="1"/>
    </font>
    <font>
      <b/>
      <sz val="11"/>
      <color rgb="FF2E7D32"/>
      <name val="Arial"/>
      <charset val="1"/>
    </font>
  </fonts>
  <fills count="15">
    <fill>
      <patternFill patternType="none"/>
    </fill>
    <fill>
      <patternFill patternType="gray125"/>
    </fill>
    <fill>
      <patternFill patternType="solid">
        <fgColor rgb="FF4A2C0A"/>
        <bgColor rgb="FF444444"/>
      </patternFill>
    </fill>
    <fill>
      <patternFill patternType="solid">
        <fgColor rgb="FFFDE9C0"/>
        <bgColor rgb="FFFFF3E0"/>
      </patternFill>
    </fill>
    <fill>
      <patternFill patternType="solid">
        <fgColor rgb="FFDBEAFE"/>
        <bgColor rgb="FFE0F2F1"/>
      </patternFill>
    </fill>
    <fill>
      <patternFill patternType="solid">
        <fgColor rgb="FFF5F5F5"/>
        <bgColor rgb="FFFFF8F0"/>
      </patternFill>
    </fill>
    <fill>
      <patternFill patternType="solid">
        <fgColor rgb="FF7B4A1E"/>
        <bgColor rgb="FF444444"/>
      </patternFill>
    </fill>
    <fill>
      <patternFill patternType="solid">
        <fgColor rgb="FFFFF8F0"/>
        <bgColor rgb="FFF5F5F5"/>
      </patternFill>
    </fill>
    <fill>
      <patternFill patternType="solid">
        <fgColor rgb="FFE8F5E9"/>
        <bgColor rgb="FFE0F2F1"/>
      </patternFill>
    </fill>
    <fill>
      <patternFill patternType="solid">
        <fgColor rgb="FFFFF3E0"/>
        <bgColor rgb="FFFFF8F0"/>
      </patternFill>
    </fill>
    <fill>
      <patternFill patternType="solid">
        <fgColor rgb="FFF3E5F5"/>
        <bgColor rgb="FFF5F5F5"/>
      </patternFill>
    </fill>
    <fill>
      <patternFill patternType="solid">
        <fgColor rgb="FF00695C"/>
        <bgColor rgb="FF008080"/>
      </patternFill>
    </fill>
    <fill>
      <patternFill patternType="solid">
        <fgColor rgb="FFE0F2F1"/>
        <bgColor rgb="FFE8F5E9"/>
      </patternFill>
    </fill>
    <fill>
      <patternFill patternType="solid">
        <fgColor rgb="FF2E7D32"/>
        <bgColor rgb="FF008000"/>
      </patternFill>
    </fill>
    <fill>
      <patternFill patternType="solid">
        <fgColor rgb="FFD4EDDA"/>
        <bgColor rgb="FFE0F2F1"/>
      </patternFill>
    </fill>
  </fills>
  <borders count="7">
    <border>
      <left/>
      <right/>
      <top/>
      <bottom/>
      <diagonal/>
    </border>
    <border>
      <left style="medium">
        <color rgb="FF1565C0"/>
      </left>
      <right/>
      <top style="medium">
        <color rgb="FF1565C0"/>
      </top>
      <bottom style="medium">
        <color rgb="FF1565C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1565C0"/>
      </left>
      <right style="medium">
        <color rgb="FF1565C0"/>
      </right>
      <top style="medium">
        <color rgb="FF1565C0"/>
      </top>
      <bottom style="medium">
        <color rgb="FF1565C0"/>
      </bottom>
      <diagonal/>
    </border>
    <border>
      <left style="medium">
        <color rgb="FF2E7D32"/>
      </left>
      <right/>
      <top style="medium">
        <color rgb="FF2E7D32"/>
      </top>
      <bottom style="medium">
        <color rgb="FF2E7D32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medium">
        <color rgb="FFFF6F00"/>
      </left>
      <right/>
      <top style="medium">
        <color rgb="FFFF6F00"/>
      </top>
      <bottom style="medium">
        <color rgb="FFFF6F00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9" fillId="2" borderId="0" xfId="0" applyFont="1" applyFill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189" fontId="22" fillId="8" borderId="4" xfId="0" applyNumberFormat="1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188" fontId="20" fillId="8" borderId="4" xfId="0" applyNumberFormat="1" applyFont="1" applyFill="1" applyBorder="1" applyAlignment="1">
      <alignment horizontal="center" vertical="center"/>
    </xf>
    <xf numFmtId="0" fontId="19" fillId="13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5" fillId="8" borderId="4" xfId="0" applyFont="1" applyFill="1" applyBorder="1" applyAlignment="1">
      <alignment horizontal="left" vertical="center" wrapText="1" indent="1"/>
    </xf>
    <xf numFmtId="0" fontId="6" fillId="11" borderId="0" xfId="0" applyFont="1" applyFill="1" applyAlignment="1">
      <alignment horizontal="left" vertical="center" indent="1"/>
    </xf>
    <xf numFmtId="0" fontId="6" fillId="6" borderId="0" xfId="0" applyFont="1" applyFill="1" applyAlignment="1">
      <alignment horizontal="left" vertical="center" indent="1"/>
    </xf>
    <xf numFmtId="0" fontId="4" fillId="5" borderId="0" xfId="0" applyFont="1" applyFill="1" applyAlignment="1">
      <alignment horizontal="center" vertical="center"/>
    </xf>
    <xf numFmtId="187" fontId="3" fillId="4" borderId="1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left" vertical="center" wrapText="1" indent="1"/>
    </xf>
    <xf numFmtId="4" fontId="8" fillId="7" borderId="2" xfId="0" applyNumberFormat="1" applyFont="1" applyFill="1" applyBorder="1" applyAlignment="1">
      <alignment horizontal="center" vertical="center"/>
    </xf>
    <xf numFmtId="4" fontId="9" fillId="7" borderId="2" xfId="0" applyNumberFormat="1" applyFont="1" applyFill="1" applyBorder="1" applyAlignment="1">
      <alignment horizontal="center" vertical="center"/>
    </xf>
    <xf numFmtId="1" fontId="10" fillId="4" borderId="3" xfId="0" applyNumberFormat="1" applyFont="1" applyFill="1" applyBorder="1" applyAlignment="1">
      <alignment horizontal="center" vertical="center"/>
    </xf>
    <xf numFmtId="4" fontId="2" fillId="7" borderId="2" xfId="0" applyNumberFormat="1" applyFont="1" applyFill="1" applyBorder="1" applyAlignment="1">
      <alignment horizontal="center" vertical="center"/>
    </xf>
    <xf numFmtId="4" fontId="11" fillId="7" borderId="2" xfId="0" applyNumberFormat="1" applyFont="1" applyFill="1" applyBorder="1" applyAlignment="1">
      <alignment horizontal="center" vertical="center"/>
    </xf>
    <xf numFmtId="4" fontId="12" fillId="8" borderId="2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 wrapText="1" indent="1"/>
    </xf>
    <xf numFmtId="4" fontId="8" fillId="3" borderId="2" xfId="0" applyNumberFormat="1" applyFont="1" applyFill="1" applyBorder="1" applyAlignment="1">
      <alignment horizontal="center" vertical="center"/>
    </xf>
    <xf numFmtId="4" fontId="9" fillId="3" borderId="2" xfId="0" applyNumberFormat="1" applyFont="1" applyFill="1" applyBorder="1" applyAlignment="1">
      <alignment horizontal="center" vertical="center"/>
    </xf>
    <xf numFmtId="4" fontId="2" fillId="3" borderId="2" xfId="0" applyNumberFormat="1" applyFont="1" applyFill="1" applyBorder="1" applyAlignment="1">
      <alignment horizontal="center" vertical="center"/>
    </xf>
    <xf numFmtId="4" fontId="11" fillId="3" borderId="2" xfId="0" applyNumberFormat="1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left" vertical="center" wrapText="1" indent="1"/>
    </xf>
    <xf numFmtId="4" fontId="8" fillId="9" borderId="2" xfId="0" applyNumberFormat="1" applyFont="1" applyFill="1" applyBorder="1" applyAlignment="1">
      <alignment horizontal="center" vertical="center"/>
    </xf>
    <xf numFmtId="4" fontId="9" fillId="9" borderId="2" xfId="0" applyNumberFormat="1" applyFont="1" applyFill="1" applyBorder="1" applyAlignment="1">
      <alignment horizontal="center" vertical="center"/>
    </xf>
    <xf numFmtId="4" fontId="2" fillId="9" borderId="2" xfId="0" applyNumberFormat="1" applyFont="1" applyFill="1" applyBorder="1" applyAlignment="1">
      <alignment horizontal="center" vertical="center"/>
    </xf>
    <xf numFmtId="4" fontId="11" fillId="9" borderId="2" xfId="0" applyNumberFormat="1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left" vertical="center" wrapText="1" indent="1"/>
    </xf>
    <xf numFmtId="4" fontId="8" fillId="10" borderId="2" xfId="0" applyNumberFormat="1" applyFont="1" applyFill="1" applyBorder="1" applyAlignment="1">
      <alignment horizontal="center" vertical="center"/>
    </xf>
    <xf numFmtId="4" fontId="9" fillId="10" borderId="2" xfId="0" applyNumberFormat="1" applyFont="1" applyFill="1" applyBorder="1" applyAlignment="1">
      <alignment horizontal="center" vertical="center"/>
    </xf>
    <xf numFmtId="4" fontId="2" fillId="10" borderId="2" xfId="0" applyNumberFormat="1" applyFont="1" applyFill="1" applyBorder="1" applyAlignment="1">
      <alignment horizontal="center" vertical="center"/>
    </xf>
    <xf numFmtId="4" fontId="11" fillId="10" borderId="2" xfId="0" applyNumberFormat="1" applyFont="1" applyFill="1" applyBorder="1" applyAlignment="1">
      <alignment horizontal="center" vertical="center"/>
    </xf>
    <xf numFmtId="0" fontId="13" fillId="12" borderId="2" xfId="0" applyFont="1" applyFill="1" applyBorder="1" applyAlignment="1">
      <alignment horizontal="left" vertical="center" indent="1"/>
    </xf>
    <xf numFmtId="4" fontId="8" fillId="12" borderId="2" xfId="0" applyNumberFormat="1" applyFont="1" applyFill="1" applyBorder="1" applyAlignment="1">
      <alignment horizontal="center" vertical="center"/>
    </xf>
    <xf numFmtId="4" fontId="9" fillId="12" borderId="2" xfId="0" applyNumberFormat="1" applyFont="1" applyFill="1" applyBorder="1" applyAlignment="1">
      <alignment horizontal="center" vertical="center"/>
    </xf>
    <xf numFmtId="4" fontId="14" fillId="12" borderId="2" xfId="0" applyNumberFormat="1" applyFont="1" applyFill="1" applyBorder="1" applyAlignment="1">
      <alignment horizontal="center" vertical="center"/>
    </xf>
    <xf numFmtId="4" fontId="11" fillId="12" borderId="2" xfId="0" applyNumberFormat="1" applyFont="1" applyFill="1" applyBorder="1" applyAlignment="1">
      <alignment horizontal="center" vertical="center"/>
    </xf>
    <xf numFmtId="4" fontId="12" fillId="12" borderId="2" xfId="0" applyNumberFormat="1" applyFont="1" applyFill="1" applyBorder="1" applyAlignment="1">
      <alignment horizontal="center" vertical="center"/>
    </xf>
    <xf numFmtId="1" fontId="17" fillId="2" borderId="0" xfId="0" applyNumberFormat="1" applyFont="1" applyFill="1" applyAlignment="1">
      <alignment horizontal="center" vertical="center"/>
    </xf>
    <xf numFmtId="4" fontId="17" fillId="2" borderId="0" xfId="0" applyNumberFormat="1" applyFont="1" applyFill="1" applyAlignment="1">
      <alignment horizontal="center" vertical="center"/>
    </xf>
    <xf numFmtId="4" fontId="18" fillId="2" borderId="0" xfId="0" applyNumberFormat="1" applyFont="1" applyFill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left" vertical="center" indent="1"/>
    </xf>
    <xf numFmtId="4" fontId="12" fillId="7" borderId="2" xfId="0" applyNumberFormat="1" applyFont="1" applyFill="1" applyBorder="1" applyAlignment="1">
      <alignment horizontal="center" vertical="center"/>
    </xf>
    <xf numFmtId="4" fontId="23" fillId="7" borderId="2" xfId="0" applyNumberFormat="1" applyFont="1" applyFill="1" applyBorder="1" applyAlignment="1">
      <alignment horizontal="center" vertical="center"/>
    </xf>
    <xf numFmtId="4" fontId="24" fillId="7" borderId="2" xfId="0" applyNumberFormat="1" applyFont="1" applyFill="1" applyBorder="1" applyAlignment="1">
      <alignment horizontal="center" vertical="center"/>
    </xf>
    <xf numFmtId="189" fontId="25" fillId="7" borderId="2" xfId="0" applyNumberFormat="1" applyFont="1" applyFill="1" applyBorder="1" applyAlignment="1">
      <alignment horizontal="center" vertical="center"/>
    </xf>
    <xf numFmtId="0" fontId="21" fillId="3" borderId="2" xfId="0" applyFont="1" applyFill="1" applyBorder="1" applyAlignment="1">
      <alignment horizontal="left" vertical="center" indent="1"/>
    </xf>
    <xf numFmtId="4" fontId="12" fillId="3" borderId="2" xfId="0" applyNumberFormat="1" applyFont="1" applyFill="1" applyBorder="1" applyAlignment="1">
      <alignment horizontal="center" vertical="center"/>
    </xf>
    <xf numFmtId="4" fontId="23" fillId="3" borderId="2" xfId="0" applyNumberFormat="1" applyFont="1" applyFill="1" applyBorder="1" applyAlignment="1">
      <alignment horizontal="center" vertical="center"/>
    </xf>
    <xf numFmtId="4" fontId="24" fillId="3" borderId="2" xfId="0" applyNumberFormat="1" applyFont="1" applyFill="1" applyBorder="1" applyAlignment="1">
      <alignment horizontal="center" vertical="center"/>
    </xf>
    <xf numFmtId="189" fontId="25" fillId="3" borderId="2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26" fillId="6" borderId="2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left" vertical="center"/>
    </xf>
    <xf numFmtId="4" fontId="3" fillId="7" borderId="2" xfId="0" applyNumberFormat="1" applyFont="1" applyFill="1" applyBorder="1" applyAlignment="1">
      <alignment horizontal="center" vertical="center"/>
    </xf>
    <xf numFmtId="190" fontId="27" fillId="7" borderId="2" xfId="0" applyNumberFormat="1" applyFont="1" applyFill="1" applyBorder="1" applyAlignment="1">
      <alignment horizontal="center" vertical="center"/>
    </xf>
    <xf numFmtId="0" fontId="28" fillId="7" borderId="2" xfId="0" applyFont="1" applyFill="1" applyBorder="1" applyAlignment="1">
      <alignment horizontal="center" vertical="center"/>
    </xf>
    <xf numFmtId="0" fontId="27" fillId="7" borderId="2" xfId="0" applyFont="1" applyFill="1" applyBorder="1" applyAlignment="1">
      <alignment horizontal="center" vertical="center"/>
    </xf>
    <xf numFmtId="4" fontId="8" fillId="8" borderId="2" xfId="0" applyNumberFormat="1" applyFont="1" applyFill="1" applyBorder="1" applyAlignment="1">
      <alignment horizontal="center" vertical="center"/>
    </xf>
    <xf numFmtId="0" fontId="29" fillId="7" borderId="2" xfId="0" applyFont="1" applyFill="1" applyBorder="1" applyAlignment="1">
      <alignment horizontal="left" vertical="center"/>
    </xf>
    <xf numFmtId="0" fontId="21" fillId="3" borderId="2" xfId="0" applyFont="1" applyFill="1" applyBorder="1" applyAlignment="1">
      <alignment horizontal="left" vertical="center"/>
    </xf>
    <xf numFmtId="4" fontId="3" fillId="3" borderId="2" xfId="0" applyNumberFormat="1" applyFont="1" applyFill="1" applyBorder="1" applyAlignment="1">
      <alignment horizontal="center" vertical="center"/>
    </xf>
    <xf numFmtId="190" fontId="27" fillId="3" borderId="2" xfId="0" applyNumberFormat="1" applyFont="1" applyFill="1" applyBorder="1" applyAlignment="1">
      <alignment horizontal="center" vertical="center"/>
    </xf>
    <xf numFmtId="0" fontId="28" fillId="3" borderId="2" xfId="0" applyFont="1" applyFill="1" applyBorder="1" applyAlignment="1">
      <alignment horizontal="center" vertical="center"/>
    </xf>
    <xf numFmtId="0" fontId="27" fillId="3" borderId="2" xfId="0" applyFont="1" applyFill="1" applyBorder="1" applyAlignment="1">
      <alignment horizontal="center" vertical="center"/>
    </xf>
    <xf numFmtId="4" fontId="8" fillId="14" borderId="2" xfId="0" applyNumberFormat="1" applyFont="1" applyFill="1" applyBorder="1" applyAlignment="1">
      <alignment horizontal="center" vertical="center"/>
    </xf>
    <xf numFmtId="0" fontId="29" fillId="3" borderId="2" xfId="0" applyFont="1" applyFill="1" applyBorder="1" applyAlignment="1">
      <alignment horizontal="left" vertical="center"/>
    </xf>
    <xf numFmtId="4" fontId="30" fillId="2" borderId="0" xfId="0" applyNumberFormat="1" applyFont="1" applyFill="1" applyAlignment="1">
      <alignment horizontal="center" vertical="center"/>
    </xf>
    <xf numFmtId="4" fontId="17" fillId="6" borderId="0" xfId="0" applyNumberFormat="1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31" fillId="8" borderId="6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95C"/>
      <rgbColor rgb="FFCCCCCC"/>
      <rgbColor rgb="FF888888"/>
      <rgbColor rgb="FF9999FF"/>
      <rgbColor rgb="FFC62828"/>
      <rgbColor rgb="FFFFF3E0"/>
      <rgbColor rgb="FFE0F2F1"/>
      <rgbColor rgb="FF660066"/>
      <rgbColor rgb="FFFF8080"/>
      <rgbColor rgb="FF1565C0"/>
      <rgbColor rgb="FFF3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D4EDDA"/>
      <rgbColor rgb="FFFDE9C0"/>
      <rgbColor rgb="FFF5F5F5"/>
      <rgbColor rgb="FFFFF8F0"/>
      <rgbColor rgb="FFCC99FF"/>
      <rgbColor rgb="FFE8F5E9"/>
      <rgbColor rgb="FF3366FF"/>
      <rgbColor rgb="FF33CCCC"/>
      <rgbColor rgb="FF99CC00"/>
      <rgbColor rgb="FFFFCC00"/>
      <rgbColor rgb="FFF5A623"/>
      <rgbColor rgb="FFFF6F00"/>
      <rgbColor rgb="FF666666"/>
      <rgbColor rgb="FF81C784"/>
      <rgbColor rgb="FF003366"/>
      <rgbColor rgb="FF2E7D32"/>
      <rgbColor rgb="FF003300"/>
      <rgbColor rgb="FF4A2C0A"/>
      <rgbColor rgb="FF7B4A1E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topLeftCell="A3" zoomScaleNormal="100" workbookViewId="0">
      <selection activeCell="A16" sqref="A16:C16"/>
    </sheetView>
  </sheetViews>
  <sheetFormatPr defaultColWidth="8.6640625" defaultRowHeight="14.4" x14ac:dyDescent="0.3"/>
  <cols>
    <col min="1" max="1" width="26" customWidth="1"/>
    <col min="2" max="2" width="12" customWidth="1"/>
    <col min="3" max="3" width="13" customWidth="1"/>
    <col min="4" max="4" width="16" customWidth="1"/>
    <col min="5" max="5" width="14" customWidth="1"/>
    <col min="6" max="6" width="13" customWidth="1"/>
    <col min="7" max="7" width="14" customWidth="1"/>
  </cols>
  <sheetData>
    <row r="1" spans="1:7" ht="43.5" customHeight="1" x14ac:dyDescent="0.3">
      <c r="A1" s="14" t="s">
        <v>0</v>
      </c>
      <c r="B1" s="14"/>
      <c r="C1" s="14"/>
      <c r="D1" s="14"/>
      <c r="E1" s="14"/>
      <c r="F1" s="14"/>
      <c r="G1" s="14"/>
    </row>
    <row r="2" spans="1:7" ht="36" customHeight="1" x14ac:dyDescent="0.3">
      <c r="A2" s="13" t="s">
        <v>1</v>
      </c>
      <c r="B2" s="13"/>
      <c r="C2" s="13"/>
      <c r="D2" s="12"/>
      <c r="E2" s="12"/>
      <c r="F2" s="12"/>
      <c r="G2" s="12"/>
    </row>
    <row r="3" spans="1:7" ht="24" customHeight="1" x14ac:dyDescent="0.3">
      <c r="A3" s="11" t="s">
        <v>2</v>
      </c>
      <c r="B3" s="11"/>
      <c r="C3" s="11"/>
      <c r="D3" s="11"/>
      <c r="E3" s="11"/>
      <c r="F3" s="11"/>
      <c r="G3" s="11"/>
    </row>
    <row r="4" spans="1:7" ht="39.75" customHeight="1" x14ac:dyDescent="0.3">
      <c r="A4" s="15" t="s">
        <v>3</v>
      </c>
      <c r="B4" s="15" t="s">
        <v>4</v>
      </c>
      <c r="C4" s="15" t="s">
        <v>5</v>
      </c>
      <c r="D4" s="15" t="s">
        <v>6</v>
      </c>
      <c r="E4" s="15" t="s">
        <v>7</v>
      </c>
      <c r="F4" s="15" t="s">
        <v>8</v>
      </c>
      <c r="G4" s="15" t="s">
        <v>9</v>
      </c>
    </row>
    <row r="5" spans="1:7" ht="25.5" customHeight="1" x14ac:dyDescent="0.3">
      <c r="A5" s="10" t="s">
        <v>10</v>
      </c>
      <c r="B5" s="10"/>
      <c r="C5" s="10"/>
      <c r="D5" s="10"/>
      <c r="E5" s="10"/>
      <c r="F5" s="10"/>
      <c r="G5" s="10"/>
    </row>
    <row r="6" spans="1:7" ht="39.75" customHeight="1" x14ac:dyDescent="0.3">
      <c r="A6" s="16" t="s">
        <v>11</v>
      </c>
      <c r="B6" s="17">
        <f>ตนทุนครอฟเฟิล!B3</f>
        <v>45</v>
      </c>
      <c r="C6" s="18">
        <f>ตนทุนครอฟเฟิล!C3</f>
        <v>16.61</v>
      </c>
      <c r="D6" s="19">
        <v>0</v>
      </c>
      <c r="E6" s="20">
        <f>B6*D6</f>
        <v>0</v>
      </c>
      <c r="F6" s="21">
        <f>C6*D6</f>
        <v>0</v>
      </c>
      <c r="G6" s="22">
        <f>E6-F6</f>
        <v>0</v>
      </c>
    </row>
    <row r="7" spans="1:7" ht="39.75" customHeight="1" x14ac:dyDescent="0.3">
      <c r="A7" s="23" t="s">
        <v>12</v>
      </c>
      <c r="B7" s="24">
        <f>ตนทุนครอฟเฟิล!B4</f>
        <v>45</v>
      </c>
      <c r="C7" s="25">
        <f>ตนทุนครอฟเฟิล!C4</f>
        <v>16.61</v>
      </c>
      <c r="D7" s="19">
        <v>0</v>
      </c>
      <c r="E7" s="26">
        <f>B7*D7</f>
        <v>0</v>
      </c>
      <c r="F7" s="27">
        <f>C7*D7</f>
        <v>0</v>
      </c>
      <c r="G7" s="22">
        <f>E7-F7</f>
        <v>0</v>
      </c>
    </row>
    <row r="8" spans="1:7" ht="39.75" customHeight="1" x14ac:dyDescent="0.3">
      <c r="A8" s="28" t="s">
        <v>13</v>
      </c>
      <c r="B8" s="29">
        <f>ตนทุนครอฟเฟิล!B5</f>
        <v>55</v>
      </c>
      <c r="C8" s="30">
        <f>ตนทุนครอฟเฟิล!C5</f>
        <v>22.61</v>
      </c>
      <c r="D8" s="19">
        <v>0</v>
      </c>
      <c r="E8" s="31">
        <f>B8*D8</f>
        <v>0</v>
      </c>
      <c r="F8" s="32">
        <f>C8*D8</f>
        <v>0</v>
      </c>
      <c r="G8" s="22">
        <f>E8-F8</f>
        <v>0</v>
      </c>
    </row>
    <row r="9" spans="1:7" ht="39.75" customHeight="1" x14ac:dyDescent="0.3">
      <c r="A9" s="33" t="s">
        <v>14</v>
      </c>
      <c r="B9" s="34">
        <f>ตนทุนครอฟเฟิล!B6</f>
        <v>55</v>
      </c>
      <c r="C9" s="35">
        <f>ตนทุนครอฟเฟิล!C6</f>
        <v>18.04</v>
      </c>
      <c r="D9" s="19">
        <v>0</v>
      </c>
      <c r="E9" s="36">
        <f>B9*D9</f>
        <v>0</v>
      </c>
      <c r="F9" s="37">
        <f>C9*D9</f>
        <v>0</v>
      </c>
      <c r="G9" s="22">
        <f>E9-F9</f>
        <v>0</v>
      </c>
    </row>
    <row r="10" spans="1:7" ht="25.5" customHeight="1" x14ac:dyDescent="0.3">
      <c r="A10" s="9" t="s">
        <v>15</v>
      </c>
      <c r="B10" s="9"/>
      <c r="C10" s="9"/>
      <c r="D10" s="9"/>
      <c r="E10" s="9"/>
      <c r="F10" s="9"/>
      <c r="G10" s="9"/>
    </row>
    <row r="11" spans="1:7" ht="39.75" customHeight="1" x14ac:dyDescent="0.3">
      <c r="A11" s="38" t="s">
        <v>15</v>
      </c>
      <c r="B11" s="39">
        <v>60</v>
      </c>
      <c r="C11" s="40">
        <f>ตนทุนขนมจีน!F16</f>
        <v>34.094999999999999</v>
      </c>
      <c r="D11" s="19">
        <v>0</v>
      </c>
      <c r="E11" s="41">
        <f>B11*D11</f>
        <v>0</v>
      </c>
      <c r="F11" s="42">
        <f>C11*D11</f>
        <v>0</v>
      </c>
      <c r="G11" s="43">
        <f>E11-F11</f>
        <v>0</v>
      </c>
    </row>
    <row r="12" spans="1:7" ht="30" customHeight="1" x14ac:dyDescent="0.3">
      <c r="A12" s="8" t="s">
        <v>16</v>
      </c>
      <c r="B12" s="8"/>
      <c r="C12" s="8"/>
      <c r="D12" s="8"/>
      <c r="E12" s="8"/>
      <c r="F12" s="8"/>
      <c r="G12" s="8"/>
    </row>
    <row r="13" spans="1:7" ht="7.5" customHeight="1" x14ac:dyDescent="0.3"/>
    <row r="14" spans="1:7" ht="48" customHeight="1" x14ac:dyDescent="0.3">
      <c r="A14" s="7" t="s">
        <v>17</v>
      </c>
      <c r="B14" s="7"/>
      <c r="C14" s="7"/>
      <c r="D14" s="44">
        <f>D6+D7+D8+D9+D11</f>
        <v>0</v>
      </c>
      <c r="E14" s="45">
        <f>E6+E7+E8+E9+E11</f>
        <v>0</v>
      </c>
      <c r="F14" s="45">
        <f>F6+F7+F8+F9+F11</f>
        <v>0</v>
      </c>
      <c r="G14" s="46">
        <f>G6+G7+G8+G9+G11</f>
        <v>0</v>
      </c>
    </row>
    <row r="16" spans="1:7" ht="54" customHeight="1" x14ac:dyDescent="0.3">
      <c r="A16" s="6" t="s">
        <v>18</v>
      </c>
      <c r="B16" s="6"/>
      <c r="C16" s="6"/>
      <c r="D16" s="5">
        <f>G14</f>
        <v>0</v>
      </c>
      <c r="E16" s="5"/>
      <c r="F16" s="5"/>
      <c r="G16" s="5"/>
    </row>
    <row r="17" spans="1:7" ht="42" customHeight="1" x14ac:dyDescent="0.3">
      <c r="A17" s="4" t="s">
        <v>19</v>
      </c>
      <c r="B17" s="4"/>
      <c r="C17" s="4"/>
      <c r="D17" s="3">
        <f>IF(E14&gt;0,G14/E14,0)</f>
        <v>0</v>
      </c>
      <c r="E17" s="3"/>
      <c r="F17" s="3"/>
      <c r="G17" s="3"/>
    </row>
  </sheetData>
  <mergeCells count="12">
    <mergeCell ref="A17:C17"/>
    <mergeCell ref="D17:G17"/>
    <mergeCell ref="A10:G10"/>
    <mergeCell ref="A12:G12"/>
    <mergeCell ref="A14:C14"/>
    <mergeCell ref="A16:C16"/>
    <mergeCell ref="D16:G16"/>
    <mergeCell ref="A1:G1"/>
    <mergeCell ref="A2:C2"/>
    <mergeCell ref="D2:G2"/>
    <mergeCell ref="A3:G3"/>
    <mergeCell ref="A5:G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zoomScaleNormal="100" workbookViewId="0">
      <selection sqref="A1:E1"/>
    </sheetView>
  </sheetViews>
  <sheetFormatPr defaultColWidth="8.6640625" defaultRowHeight="14.4" x14ac:dyDescent="0.3"/>
  <cols>
    <col min="1" max="1" width="30" customWidth="1"/>
    <col min="2" max="4" width="14" customWidth="1"/>
    <col min="5" max="5" width="16" customWidth="1"/>
  </cols>
  <sheetData>
    <row r="1" spans="1:5" ht="39.75" customHeight="1" x14ac:dyDescent="0.3">
      <c r="A1" s="2" t="s">
        <v>20</v>
      </c>
      <c r="B1" s="2"/>
      <c r="C1" s="2"/>
      <c r="D1" s="2"/>
      <c r="E1" s="2"/>
    </row>
    <row r="2" spans="1:5" ht="31.5" customHeight="1" x14ac:dyDescent="0.3">
      <c r="A2" s="47" t="s">
        <v>3</v>
      </c>
      <c r="B2" s="47" t="s">
        <v>21</v>
      </c>
      <c r="C2" s="47" t="s">
        <v>22</v>
      </c>
      <c r="D2" s="47" t="s">
        <v>23</v>
      </c>
      <c r="E2" s="47" t="s">
        <v>24</v>
      </c>
    </row>
    <row r="3" spans="1:5" ht="33.75" customHeight="1" x14ac:dyDescent="0.3">
      <c r="A3" s="48" t="s">
        <v>25</v>
      </c>
      <c r="B3" s="49">
        <v>45</v>
      </c>
      <c r="C3" s="50">
        <v>16.61</v>
      </c>
      <c r="D3" s="51">
        <f>B3-C3</f>
        <v>28.39</v>
      </c>
      <c r="E3" s="52">
        <f>IF(B3&gt;0,D3/B3,0)</f>
        <v>0.63088888888888894</v>
      </c>
    </row>
    <row r="4" spans="1:5" ht="33.75" customHeight="1" x14ac:dyDescent="0.3">
      <c r="A4" s="53" t="s">
        <v>26</v>
      </c>
      <c r="B4" s="54">
        <v>45</v>
      </c>
      <c r="C4" s="55">
        <v>16.61</v>
      </c>
      <c r="D4" s="56">
        <f>B4-C4</f>
        <v>28.39</v>
      </c>
      <c r="E4" s="57">
        <f>IF(B4&gt;0,D4/B4,0)</f>
        <v>0.63088888888888894</v>
      </c>
    </row>
    <row r="5" spans="1:5" ht="33.75" customHeight="1" x14ac:dyDescent="0.3">
      <c r="A5" s="48" t="s">
        <v>27</v>
      </c>
      <c r="B5" s="49">
        <v>55</v>
      </c>
      <c r="C5" s="50">
        <v>22.61</v>
      </c>
      <c r="D5" s="51">
        <f>B5-C5</f>
        <v>32.39</v>
      </c>
      <c r="E5" s="52">
        <f>IF(B5&gt;0,D5/B5,0)</f>
        <v>0.58890909090909094</v>
      </c>
    </row>
    <row r="6" spans="1:5" ht="33.75" customHeight="1" x14ac:dyDescent="0.3">
      <c r="A6" s="53" t="s">
        <v>28</v>
      </c>
      <c r="B6" s="54">
        <v>55</v>
      </c>
      <c r="C6" s="55">
        <v>18.04</v>
      </c>
      <c r="D6" s="56">
        <f>B6-C6</f>
        <v>36.96</v>
      </c>
      <c r="E6" s="57">
        <f>IF(B6&gt;0,D6/B6,0)</f>
        <v>0.67200000000000004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zoomScaleNormal="100" workbookViewId="0">
      <selection activeCell="L12" sqref="L12"/>
    </sheetView>
  </sheetViews>
  <sheetFormatPr defaultColWidth="8.6640625" defaultRowHeight="14.4" x14ac:dyDescent="0.3"/>
  <cols>
    <col min="1" max="1" width="24" customWidth="1"/>
    <col min="2" max="4" width="12" customWidth="1"/>
    <col min="5" max="5" width="18" customWidth="1"/>
    <col min="6" max="6" width="12" customWidth="1"/>
    <col min="7" max="7" width="20" customWidth="1"/>
  </cols>
  <sheetData>
    <row r="1" spans="1:7" ht="39.75" customHeight="1" x14ac:dyDescent="0.3">
      <c r="A1" s="2" t="s">
        <v>29</v>
      </c>
      <c r="B1" s="2"/>
      <c r="C1" s="2"/>
      <c r="D1" s="2"/>
      <c r="E1" s="2"/>
      <c r="F1" s="2"/>
      <c r="G1" s="2"/>
    </row>
    <row r="2" spans="1:7" ht="30" customHeight="1" x14ac:dyDescent="0.3">
      <c r="A2" s="58" t="s">
        <v>30</v>
      </c>
      <c r="B2" s="58" t="s">
        <v>31</v>
      </c>
      <c r="C2" s="58" t="s">
        <v>32</v>
      </c>
      <c r="D2" s="58" t="s">
        <v>33</v>
      </c>
      <c r="E2" s="58" t="s">
        <v>34</v>
      </c>
      <c r="F2" s="59" t="s">
        <v>35</v>
      </c>
      <c r="G2" s="58" t="s">
        <v>36</v>
      </c>
    </row>
    <row r="3" spans="1:7" ht="25.5" customHeight="1" x14ac:dyDescent="0.3">
      <c r="A3" s="60" t="s">
        <v>37</v>
      </c>
      <c r="B3" s="61">
        <v>34</v>
      </c>
      <c r="C3" s="62">
        <v>1</v>
      </c>
      <c r="D3" s="63" t="s">
        <v>38</v>
      </c>
      <c r="E3" s="64">
        <v>6</v>
      </c>
      <c r="F3" s="65">
        <f t="shared" ref="F3:F15" si="0">B3/E3</f>
        <v>5.666666666666667</v>
      </c>
      <c r="G3" s="66" t="s">
        <v>39</v>
      </c>
    </row>
    <row r="4" spans="1:7" ht="25.5" customHeight="1" x14ac:dyDescent="0.3">
      <c r="A4" s="67" t="s">
        <v>40</v>
      </c>
      <c r="B4" s="68">
        <v>20</v>
      </c>
      <c r="C4" s="69">
        <v>1</v>
      </c>
      <c r="D4" s="70" t="s">
        <v>41</v>
      </c>
      <c r="E4" s="71">
        <v>10</v>
      </c>
      <c r="F4" s="72">
        <f t="shared" si="0"/>
        <v>2</v>
      </c>
      <c r="G4" s="73"/>
    </row>
    <row r="5" spans="1:7" ht="25.5" customHeight="1" x14ac:dyDescent="0.3">
      <c r="A5" s="60" t="s">
        <v>42</v>
      </c>
      <c r="B5" s="61">
        <v>170</v>
      </c>
      <c r="C5" s="62">
        <v>500</v>
      </c>
      <c r="D5" s="63" t="s">
        <v>43</v>
      </c>
      <c r="E5" s="64">
        <v>50</v>
      </c>
      <c r="F5" s="65">
        <f t="shared" si="0"/>
        <v>3.4</v>
      </c>
      <c r="G5" s="66" t="s">
        <v>44</v>
      </c>
    </row>
    <row r="6" spans="1:7" ht="25.5" customHeight="1" x14ac:dyDescent="0.3">
      <c r="A6" s="67" t="s">
        <v>45</v>
      </c>
      <c r="B6" s="68">
        <v>22</v>
      </c>
      <c r="C6" s="69">
        <v>400</v>
      </c>
      <c r="D6" s="70" t="s">
        <v>43</v>
      </c>
      <c r="E6" s="71">
        <v>6</v>
      </c>
      <c r="F6" s="72">
        <f t="shared" si="0"/>
        <v>3.6666666666666665</v>
      </c>
      <c r="G6" s="73" t="s">
        <v>46</v>
      </c>
    </row>
    <row r="7" spans="1:7" ht="25.5" customHeight="1" x14ac:dyDescent="0.3">
      <c r="A7" s="60" t="s">
        <v>47</v>
      </c>
      <c r="B7" s="61">
        <v>98</v>
      </c>
      <c r="C7" s="62">
        <v>0.67200000000000004</v>
      </c>
      <c r="D7" s="63" t="s">
        <v>38</v>
      </c>
      <c r="E7" s="64">
        <v>10</v>
      </c>
      <c r="F7" s="65">
        <f t="shared" si="0"/>
        <v>9.8000000000000007</v>
      </c>
      <c r="G7" s="66" t="s">
        <v>48</v>
      </c>
    </row>
    <row r="8" spans="1:7" ht="25.5" customHeight="1" x14ac:dyDescent="0.3">
      <c r="A8" s="67" t="s">
        <v>49</v>
      </c>
      <c r="B8" s="68">
        <v>65</v>
      </c>
      <c r="C8" s="69">
        <v>1000</v>
      </c>
      <c r="D8" s="70" t="s">
        <v>43</v>
      </c>
      <c r="E8" s="71">
        <v>50</v>
      </c>
      <c r="F8" s="72">
        <f t="shared" si="0"/>
        <v>1.3</v>
      </c>
      <c r="G8" s="73" t="s">
        <v>50</v>
      </c>
    </row>
    <row r="9" spans="1:7" ht="25.5" customHeight="1" x14ac:dyDescent="0.3">
      <c r="A9" s="60" t="s">
        <v>51</v>
      </c>
      <c r="B9" s="61">
        <v>15</v>
      </c>
      <c r="C9" s="62">
        <v>500</v>
      </c>
      <c r="D9" s="63" t="s">
        <v>43</v>
      </c>
      <c r="E9" s="64">
        <v>20</v>
      </c>
      <c r="F9" s="65">
        <f t="shared" si="0"/>
        <v>0.75</v>
      </c>
      <c r="G9" s="66" t="s">
        <v>52</v>
      </c>
    </row>
    <row r="10" spans="1:7" ht="25.5" customHeight="1" x14ac:dyDescent="0.3">
      <c r="A10" s="67" t="s">
        <v>53</v>
      </c>
      <c r="B10" s="68">
        <v>20</v>
      </c>
      <c r="C10" s="69">
        <v>3</v>
      </c>
      <c r="D10" s="70" t="s">
        <v>54</v>
      </c>
      <c r="E10" s="71">
        <v>12</v>
      </c>
      <c r="F10" s="72">
        <f t="shared" si="0"/>
        <v>1.6666666666666667</v>
      </c>
      <c r="G10" s="73" t="s">
        <v>55</v>
      </c>
    </row>
    <row r="11" spans="1:7" ht="25.5" customHeight="1" x14ac:dyDescent="0.3">
      <c r="A11" s="60" t="s">
        <v>56</v>
      </c>
      <c r="B11" s="61">
        <v>20</v>
      </c>
      <c r="C11" s="62">
        <v>100</v>
      </c>
      <c r="D11" s="63" t="s">
        <v>43</v>
      </c>
      <c r="E11" s="64">
        <v>10</v>
      </c>
      <c r="F11" s="65">
        <f t="shared" si="0"/>
        <v>2</v>
      </c>
      <c r="G11" s="66"/>
    </row>
    <row r="12" spans="1:7" ht="25.5" customHeight="1" x14ac:dyDescent="0.3">
      <c r="A12" s="67" t="s">
        <v>57</v>
      </c>
      <c r="B12" s="68">
        <v>20</v>
      </c>
      <c r="C12" s="69">
        <v>1</v>
      </c>
      <c r="D12" s="70" t="s">
        <v>41</v>
      </c>
      <c r="E12" s="71">
        <v>50</v>
      </c>
      <c r="F12" s="72">
        <f t="shared" si="0"/>
        <v>0.4</v>
      </c>
      <c r="G12" s="73"/>
    </row>
    <row r="13" spans="1:7" ht="25.5" customHeight="1" x14ac:dyDescent="0.3">
      <c r="A13" s="60" t="s">
        <v>58</v>
      </c>
      <c r="B13" s="61">
        <v>139</v>
      </c>
      <c r="C13" s="62">
        <v>50</v>
      </c>
      <c r="D13" s="63" t="s">
        <v>59</v>
      </c>
      <c r="E13" s="64">
        <v>50</v>
      </c>
      <c r="F13" s="65">
        <f t="shared" si="0"/>
        <v>2.78</v>
      </c>
      <c r="G13" s="66" t="s">
        <v>60</v>
      </c>
    </row>
    <row r="14" spans="1:7" ht="25.5" customHeight="1" x14ac:dyDescent="0.3">
      <c r="A14" s="67" t="s">
        <v>61</v>
      </c>
      <c r="B14" s="68">
        <v>55</v>
      </c>
      <c r="C14" s="69">
        <v>200</v>
      </c>
      <c r="D14" s="70" t="s">
        <v>59</v>
      </c>
      <c r="E14" s="71">
        <v>200</v>
      </c>
      <c r="F14" s="72">
        <f t="shared" si="0"/>
        <v>0.27500000000000002</v>
      </c>
      <c r="G14" s="73" t="s">
        <v>60</v>
      </c>
    </row>
    <row r="15" spans="1:7" ht="25.5" customHeight="1" x14ac:dyDescent="0.3">
      <c r="A15" s="60" t="s">
        <v>62</v>
      </c>
      <c r="B15" s="61">
        <v>39</v>
      </c>
      <c r="C15" s="62">
        <v>100</v>
      </c>
      <c r="D15" s="63" t="s">
        <v>59</v>
      </c>
      <c r="E15" s="64">
        <v>100</v>
      </c>
      <c r="F15" s="65">
        <f t="shared" si="0"/>
        <v>0.39</v>
      </c>
      <c r="G15" s="66" t="s">
        <v>60</v>
      </c>
    </row>
    <row r="16" spans="1:7" ht="37.5" customHeight="1" x14ac:dyDescent="0.3">
      <c r="A16" s="1" t="s">
        <v>63</v>
      </c>
      <c r="B16" s="1"/>
      <c r="C16" s="1"/>
      <c r="D16" s="1"/>
      <c r="E16" s="1"/>
      <c r="F16" s="74">
        <f>SUM(F3:F15)</f>
        <v>34.094999999999999</v>
      </c>
    </row>
    <row r="17" spans="1:7" ht="33.75" customHeight="1" x14ac:dyDescent="0.3">
      <c r="A17" s="76" t="s">
        <v>64</v>
      </c>
      <c r="B17" s="76"/>
      <c r="C17" s="76"/>
      <c r="D17" s="76"/>
      <c r="E17" s="76"/>
      <c r="F17" s="75">
        <f>60-F16</f>
        <v>25.905000000000001</v>
      </c>
    </row>
    <row r="18" spans="1:7" ht="43.5" customHeight="1" x14ac:dyDescent="0.3">
      <c r="A18" s="77" t="s">
        <v>65</v>
      </c>
      <c r="B18" s="77"/>
      <c r="C18" s="77"/>
      <c r="D18" s="77"/>
      <c r="E18" s="77"/>
      <c r="F18" s="77"/>
      <c r="G18" s="77"/>
    </row>
  </sheetData>
  <mergeCells count="4">
    <mergeCell ref="A1:G1"/>
    <mergeCell ref="A16:E16"/>
    <mergeCell ref="A17:E17"/>
    <mergeCell ref="A18:G1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กรอกยอดขาย</vt:lpstr>
      <vt:lpstr>ตนทุนครอฟเฟิล</vt:lpstr>
      <vt:lpstr>ตนทุนขนมจีน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Piyachai C</cp:lastModifiedBy>
  <cp:revision>0</cp:revision>
  <dcterms:created xsi:type="dcterms:W3CDTF">2026-05-12T16:33:37Z</dcterms:created>
  <dcterms:modified xsi:type="dcterms:W3CDTF">2026-05-12T16:47:41Z</dcterms:modified>
  <dc:language>en-US</dc:language>
</cp:coreProperties>
</file>
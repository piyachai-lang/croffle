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🧾 วัตถุดิบ" sheetId="1" state="visible" r:id="rId3"/>
    <sheet name="💰 ต้นทุน &amp; ราคาขาย" sheetId="2" state="visible" r:id="rId4"/>
    <sheet name="📊 บันทึกรายรับ" sheetId="3" state="visible" r:id="rId5"/>
    <sheet name="🚀 แอปเดลิเวอรี่" sheetId="4" state="visible" r:id="rId6"/>
    <sheet name="🎁 โปรโมชั่น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<sst xmlns="http://schemas.openxmlformats.org/spreadsheetml/2006/main" count="166" uniqueCount="139">
  <si>
    <t xml:space="preserve">🥐 CROFFLE — ตารางต้นทุนวัตถุดิบ</t>
  </si>
  <si>
    <t xml:space="preserve">#</t>
  </si>
  <si>
    <t xml:space="preserve">วัตถุดิบ</t>
  </si>
  <si>
    <t xml:space="preserve">ราคา (฿)</t>
  </si>
  <si>
    <t xml:space="preserve">ปริมาณ/แพ็ค</t>
  </si>
  <si>
    <t xml:space="preserve">หน่วย</t>
  </si>
  <si>
    <t xml:space="preserve">ราคาต่อหน่วย (฿)</t>
  </si>
  <si>
    <t xml:space="preserve">หมายเหตุ</t>
  </si>
  <si>
    <t xml:space="preserve">ตัวขนม (แป้งครอฟเฟิล)</t>
  </si>
  <si>
    <t xml:space="preserve">ชิ้น</t>
  </si>
  <si>
    <t xml:space="preserve">ต้นทุนหลัก/ชิ้น</t>
  </si>
  <si>
    <t xml:space="preserve">กล่อง + ถุง</t>
  </si>
  <si>
    <t xml:space="preserve">กล่อง</t>
  </si>
  <si>
    <t xml:space="preserve">บรรจุภัณฑ์/กล่อง</t>
  </si>
  <si>
    <t xml:space="preserve">แผ่นรองขนม</t>
  </si>
  <si>
    <t xml:space="preserve">แผ่น</t>
  </si>
  <si>
    <t xml:space="preserve">1 แผ่น/กล่อง</t>
  </si>
  <si>
    <t xml:space="preserve">เนย</t>
  </si>
  <si>
    <t xml:space="preserve">กรัม</t>
  </si>
  <si>
    <t xml:space="preserve">ใช้ ≤1 กรัม/ชิ้น</t>
  </si>
  <si>
    <t xml:space="preserve">น้ำตาลคาราเมล</t>
  </si>
  <si>
    <t xml:space="preserve">ใช้ ~10 กรัม/ชิ้น</t>
  </si>
  <si>
    <t xml:space="preserve">นูเทลา (topping)</t>
  </si>
  <si>
    <t xml:space="preserve">เนยถั่ว (topping)</t>
  </si>
  <si>
    <t xml:space="preserve">💡 สมมติฐานปริมาณที่ใช้ต่อชิ้น</t>
  </si>
  <si>
    <t xml:space="preserve">  • เนย</t>
  </si>
  <si>
    <t xml:space="preserve">≤1 กรัม/ชิ้น</t>
  </si>
  <si>
    <t xml:space="preserve">ทาบางๆ</t>
  </si>
  <si>
    <t xml:space="preserve">  • น้ำตาลคาราเมล</t>
  </si>
  <si>
    <t xml:space="preserve">10 กรัม/ชิ้น</t>
  </si>
  <si>
    <t xml:space="preserve">สามารถปรับได้ในชีทต้นทุน</t>
  </si>
  <si>
    <t xml:space="preserve">  • นูเทลา</t>
  </si>
  <si>
    <t xml:space="preserve">บีบเป็น topping</t>
  </si>
  <si>
    <t xml:space="preserve">  • เนยถั่ว</t>
  </si>
  <si>
    <t xml:space="preserve">🥐 CROFFLE — ต้นทุนและราคาขาย (ต่อกล่อง 2 ชิ้น)</t>
  </si>
  <si>
    <t xml:space="preserve">📌 ราคาต่อหน่วย (อ้างอิงจากชีท วัตถุดิบ)</t>
  </si>
  <si>
    <t xml:space="preserve">ตัวขนม/ชิ้น</t>
  </si>
  <si>
    <t xml:space="preserve">฿/หน่วย</t>
  </si>
  <si>
    <t xml:space="preserve">กล่อง+ถุง/กล่อง</t>
  </si>
  <si>
    <t xml:space="preserve">แผ่นรอง/กล่อง</t>
  </si>
  <si>
    <t xml:space="preserve">เนย/กรัม</t>
  </si>
  <si>
    <t xml:space="preserve">คาราเมล/กรัม</t>
  </si>
  <si>
    <t xml:space="preserve">นูเทลา/กรัม</t>
  </si>
  <si>
    <t xml:space="preserve">เนยถั่ว/กรัม</t>
  </si>
  <si>
    <t xml:space="preserve">เมนู</t>
  </si>
  <si>
    <t xml:space="preserve">ตัวขนม
(×2)</t>
  </si>
  <si>
    <t xml:space="preserve">กล่อง+ถุง
(×1)</t>
  </si>
  <si>
    <t xml:space="preserve">แผ่นรอง
(×1)</t>
  </si>
  <si>
    <t xml:space="preserve">เนย
(×2)</t>
  </si>
  <si>
    <t xml:space="preserve">คาราเมล
(×2)</t>
  </si>
  <si>
    <t xml:space="preserve">Topping
(×1 หรือ ×2)</t>
  </si>
  <si>
    <t xml:space="preserve">ต้นทุน/กล่อง (฿)</t>
  </si>
  <si>
    <t xml:space="preserve">ราคาขาย (฿)</t>
  </si>
  <si>
    <t xml:space="preserve">กำไร/กล่อง (฿)</t>
  </si>
  <si>
    <t xml:space="preserve">กำไร %</t>
  </si>
  <si>
    <t xml:space="preserve">🍫 ออริจินัล (Original)</t>
  </si>
  <si>
    <t xml:space="preserve">0</t>
  </si>
  <si>
    <t xml:space="preserve">🍫 นูเทลา × 2</t>
  </si>
  <si>
    <t xml:space="preserve">🥜 เนยถั่ว × 2</t>
  </si>
  <si>
    <t xml:space="preserve">🍫🥜 คละ: นูเทลา + เนยถั่ว</t>
  </si>
  <si>
    <t xml:space="preserve">🍫 คละ: ออริ + นูเทลา</t>
  </si>
  <si>
    <t xml:space="preserve">🥜 คละ: ออริ + เนยถั่ว</t>
  </si>
  <si>
    <t xml:space="preserve">🔵 = ตัวเลขที่แก้ไขได้ (ราคาขาย)   |   ปรับราคาขายในคอลัมน์ I ได้ตามต้องการ</t>
  </si>
  <si>
    <t xml:space="preserve">🥐 CROFFLE — บันทึกยอดขายรายวัน</t>
  </si>
  <si>
    <t xml:space="preserve">📋 สรุปยอดวันนี้ — กรอกจำนวนกล่องที่ขายในคอลัมน์ D</t>
  </si>
  <si>
    <t xml:space="preserve">ราคาขาย</t>
  </si>
  <si>
    <t xml:space="preserve">ต้นทุน/กล่อง</t>
  </si>
  <si>
    <t xml:space="preserve">จำนวนขาย (กล่อง)</t>
  </si>
  <si>
    <t xml:space="preserve">รายรับ (฿)</t>
  </si>
  <si>
    <t xml:space="preserve">ต้นทุนรวม (฿)</t>
  </si>
  <si>
    <t xml:space="preserve">กำไรสุทธิ (฿)</t>
  </si>
  <si>
    <t xml:space="preserve">🍫 ออริจินัล</t>
  </si>
  <si>
    <t xml:space="preserve">🍫🥜 นูเทลา + เนยถั่ว</t>
  </si>
  <si>
    <t xml:space="preserve">🍫 ออริ + นูเทลา</t>
  </si>
  <si>
    <t xml:space="preserve">🥜 ออริ + เนยถั่ว</t>
  </si>
  <si>
    <t xml:space="preserve">📦 รวมทั้งหมด</t>
  </si>
  <si>
    <t xml:space="preserve">💡 กรอกจำนวนกล่องที่ขายในคอลัมน์ D (สีน้ำเงิน) — ตัวเลขอื่นคำนวณอัตโนมัติ</t>
  </si>
  <si>
    <t xml:space="preserve">📊 แดชบอร์ดกราฟวิเคราะห์ยอดขาย</t>
  </si>
  <si>
    <t xml:space="preserve">💰 รายรับรวม (฿)</t>
  </si>
  <si>
    <t xml:space="preserve">📦 ต้นทุนรวม (฿)</t>
  </si>
  <si>
    <t xml:space="preserve">✨ กำไรสุทธิ (฿)</t>
  </si>
  <si>
    <t xml:space="preserve">📈 กำไร %</t>
  </si>
  <si>
    <t xml:space="preserve">🛒 กล่องรวม</t>
  </si>
  <si>
    <t xml:space="preserve">📝 กราฟอัปเดตอัตโนมัติเมื่อแก้ไขจำนวนกล่องที่ขาย (คอลัมน์ D) — ตัวเลขตัวอย่างใส่ไว้ให้ดูก่อน</t>
  </si>
  <si>
    <t xml:space="preserve">🥐 CROFFLE — ราคาสำหรับแอปเดลิเวอรี่ (GrabFood / LINE MAN / Foodpanda)</t>
  </si>
  <si>
    <t xml:space="preserve">% Commission แอป (ปกติ 30%):</t>
  </si>
  <si>
    <t xml:space="preserve">← แก้ไขได้</t>
  </si>
  <si>
    <t xml:space="preserve">หมายเหตุ: ราคาในแอปควรปัดขึ้นให้เป็นตัวเลขสวย (เช่น 65, 79, 89)</t>
  </si>
  <si>
    <t xml:space="preserve">ราคาขายปกติ (฿)</t>
  </si>
  <si>
    <t xml:space="preserve">% Commission</t>
  </si>
  <si>
    <t xml:space="preserve">ราคาขายในแอป
(Break-even)</t>
  </si>
  <si>
    <t xml:space="preserve">แนะนำตั้งราคา (฿)</t>
  </si>
  <si>
    <t xml:space="preserve">กำไรหลังหักค่า GP (฿)</t>
  </si>
  <si>
    <t xml:space="preserve">ตั้งราคา Grab
(฿)</t>
  </si>
  <si>
    <t xml:space="preserve">ตั้งราคา LINE MAN
(฿)</t>
  </si>
  <si>
    <t xml:space="preserve">💡 เคล็ดลับการลงขายในแอปเดลิเวอรี่</t>
  </si>
  <si>
    <t xml:space="preserve">1️⃣  ตั้งราคาในแอปสูงกว่าราคาขายปกติ 40-45% เพื่อครอบคลุม GP 30% และยังมีกำไร</t>
  </si>
  <si>
    <t xml:space="preserve">2️⃣  ใส่รูปสวย, ใช้ชื่อเมนูที่ดึงดูด เช่น 'Croffle สุดพรีเมี่ยม' — รูปภาพสำคัญมาก</t>
  </si>
  <si>
    <t xml:space="preserve">3️⃣  เปิดขายช่วง 10.00-14.00 และ 14.00-18.00 (ช่วง afternoon snack ขายดีสุด)</t>
  </si>
  <si>
    <t xml:space="preserve">4️⃣  ตั้ง MOQ (ยอดสั่งขั้นต่ำ) ไว้ที่ 1 กล่อง แต่ทำโปรซื้อ 2+ กล่อง ได้ส่วนลด</t>
  </si>
  <si>
    <t xml:space="preserve">5️⃣  ค่าส่งควรชาร์จลูกค้า หรือตั้งราคาให้ครอบคลุม — ห้ามให้แอปเป็นคนจ่ายแทน</t>
  </si>
  <si>
    <t xml:space="preserve">6️⃣  ขอ review หลังส่งของทุกครั้ง เพราะ rating ช่วยให้ติดหน้าแรกของแอป</t>
  </si>
  <si>
    <t xml:space="preserve">🥐 CROFFLE — แผนโปรโมชั่น &amp; กลยุทธ์การขาย</t>
  </si>
  <si>
    <t xml:space="preserve">โปรโมชั่น</t>
  </si>
  <si>
    <t xml:space="preserve">รายละเอียด</t>
  </si>
  <si>
    <t xml:space="preserve">ตัวเลขที่เกี่ยวข้อง</t>
  </si>
  <si>
    <t xml:space="preserve">เหตุผล / ประโยชน์</t>
  </si>
  <si>
    <t xml:space="preserve">🎁 ซื้อ 2 จ่าย 1.8</t>
  </si>
  <si>
    <t xml:space="preserve">ซื้อ 2 กล่อง ลด 10%</t>
  </si>
  <si>
    <t xml:space="preserve">ราคาปกติ 2 กล่อง: 90฿ → โปรได้: 81฿
ต้นทุน: 36.62฿  กำไร: 44.38฿ (54.8%)</t>
  </si>
  <si>
    <t xml:space="preserve">กระตุ้นยอด, ดึงลูกค้าให้ซื้อเพิ่ม</t>
  </si>
  <si>
    <t xml:space="preserve">☀️ Happy Hour</t>
  </si>
  <si>
    <t xml:space="preserve">ช่วง 14.00-16.00 ลด 15%</t>
  </si>
  <si>
    <t xml:space="preserve">ออริจินัล: 45฿ → 38฿
ช่วยระบายสต๊อก ลดการทิ้งของ</t>
  </si>
  <si>
    <t xml:space="preserve">ขายออกช่วงงานเบา ลดของเหลือ</t>
  </si>
  <si>
    <t xml:space="preserve">🎉 เซตคู่คละรส</t>
  </si>
  <si>
    <t xml:space="preserve">ออริ + นูเทลา หรือ ออริ + เนยถั่ว ราคาพิเศษ</t>
  </si>
  <si>
    <t xml:space="preserve">ออริ+นูเทลา ปกติ: 65฿ → โปร: 59฿
กำไร: 33.19฿ (56.3%)</t>
  </si>
  <si>
    <t xml:space="preserve">ให้ลูกค้าได้ลอง 2 รส, เพิ่มโอกาสซื้อซ้ำ</t>
  </si>
  <si>
    <t xml:space="preserve">📦 แพ็ค 3 กล่อง</t>
  </si>
  <si>
    <t xml:space="preserve">ซื้อ 3 กล่อง รับส่วนลด 20฿</t>
  </si>
  <si>
    <t xml:space="preserve">ออริจินัล ×3: ปกติ 135฿ → 115฿
กำไร: 60.07฿ (52.2%)</t>
  </si>
  <si>
    <t xml:space="preserve">เหมาะกับกลุ่มออฟฟิศ/ครอบครัว</t>
  </si>
  <si>
    <t xml:space="preserve">🆓 ฟรีแผ่นรอง Extra</t>
  </si>
  <si>
    <t xml:space="preserve">ซื้อ 1 กล่อง รับ topping คาราเมลพิเศษฟรี</t>
  </si>
  <si>
    <t xml:space="preserve">ต้นทุนเพิ่ม: ≈0.40฿ แต่ดูพรีเมี่ยม</t>
  </si>
  <si>
    <t xml:space="preserve">เพิ่ม perceived value โดยต้นทุนต่ำมาก</t>
  </si>
  <si>
    <t xml:space="preserve">📲 First Order</t>
  </si>
  <si>
    <t xml:space="preserve">สั่งครั้งแรกผ่านแอปลด 20%</t>
  </si>
  <si>
    <t xml:space="preserve">ออริจินัล: 65฿ → 52฿
ยังมีกำไรแม้หักค่า GP แล้ว</t>
  </si>
  <si>
    <t xml:space="preserve">ดึงลูกค้าใหม่ในแอปเดลิเวอรี่</t>
  </si>
  <si>
    <t xml:space="preserve">⭐ Loyalty Card</t>
  </si>
  <si>
    <t xml:space="preserve">ซื้อ 10 กล่อง ฟรี 1 กล่อง</t>
  </si>
  <si>
    <t xml:space="preserve">ต้นทุนฟรี: 18.31฿ / 10 กล่อง = 1.83฿/กล่อง
ลด margin ลงแค่ 4%</t>
  </si>
  <si>
    <t xml:space="preserve">สร้าง loyalty, ลูกค้าประจำ</t>
  </si>
  <si>
    <t xml:space="preserve">🌅 Pre-order จอง</t>
  </si>
  <si>
    <t xml:space="preserve">จองล่วงหน้าได้ส่วนลด 5฿</t>
  </si>
  <si>
    <t xml:space="preserve">ช่วยวางแผนการผลิต ลดของเสีย</t>
  </si>
  <si>
    <t xml:space="preserve">ควบคุม supply ได้ดีขึ้น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</si>
</sst>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56DB"/>
      <name val="Arial"/>
      <family val="0"/>
      <charset val="1"/>
    </font>
    <font>
      <b val="true"/>
      <sz val="10"/>
      <color rgb="FF5D3A1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5D3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7622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A56DB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A56D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276221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1A56DB"/>
      <name val="Arial"/>
      <family val="0"/>
      <charset val="1"/>
    </font>
    <font>
      <b val="true"/>
      <sz val="14"/>
      <color rgb="FF8B5E3C"/>
      <name val="Arial"/>
      <family val="0"/>
      <charset val="1"/>
    </font>
    <font>
      <b val="true"/>
      <sz val="14"/>
      <color rgb="FF5D3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i val="true"/>
      <sz val="9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33333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D3A1A"/>
        <bgColor rgb="FF444444"/>
      </patternFill>
    </fill>
    <fill>
      <patternFill patternType="solid">
        <fgColor rgb="FF8B5E3C"/>
        <bgColor rgb="FF666666"/>
      </patternFill>
    </fill>
    <fill>
      <patternFill patternType="solid">
        <fgColor rgb="FFFFF8F0"/>
        <bgColor rgb="FFFFFFFF"/>
      </patternFill>
    </fill>
    <fill>
      <patternFill patternType="solid">
        <fgColor rgb="FFFDE9C0"/>
        <bgColor rgb="FFF2F2F2"/>
      </patternFill>
    </fill>
    <fill>
      <patternFill patternType="solid">
        <fgColor rgb="FFF2F2F2"/>
        <bgColor rgb="FFFFF8F0"/>
      </patternFill>
    </fill>
    <fill>
      <patternFill patternType="solid">
        <fgColor rgb="FFF5A623"/>
        <bgColor rgb="FFF796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B5E3C"/>
      <rgbColor rgb="FF800080"/>
      <rgbColor rgb="FF008080"/>
      <rgbColor rgb="FFCCCCCC"/>
      <rgbColor rgb="FF666666"/>
      <rgbColor rgb="FF70AD47"/>
      <rgbColor rgb="FFC0504D"/>
      <rgbColor rgb="FFFFF8F0"/>
      <rgbColor rgb="FFF2F2F2"/>
      <rgbColor rgb="FF660066"/>
      <rgbColor rgb="FFF79646"/>
      <rgbColor rgb="FF1A56D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C0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5A623"/>
      <rgbColor rgb="FFED7D31"/>
      <rgbColor rgb="FF8064A2"/>
      <rgbColor rgb="FFB3B3B3"/>
      <rgbColor rgb="FF003366"/>
      <rgbColor rgb="FF4F81BD"/>
      <rgbColor rgb="FF003300"/>
      <rgbColor rgb="FF5D3A1A"/>
      <rgbColor rgb="FFC0392B"/>
      <rgbColor rgb="FF555555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รายรับ / ต้นทุน / กำไร แยกตามเมนู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บันทึกรายรับ'!E3</c:f>
              <c:strCache>
                <c:ptCount val="1"/>
                <c:pt idx="0">
                  <c:v>รายรับ (฿)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4472C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4472C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บันทึกรายรับ'!$A$4:$A$9</c:f>
              <c:strCache>
                <c:ptCount val="6"/>
                <c:pt idx="0">
                  <c:v>🍫 ออริจินัล</c:v>
                </c:pt>
                <c:pt idx="1">
                  <c:v>🍫 นูเทลา × 2</c:v>
                </c:pt>
                <c:pt idx="2">
                  <c:v>🥜 เนยถั่ว × 2</c:v>
                </c:pt>
                <c:pt idx="3">
                  <c:v>🍫🥜 นูเทลา + เนยถั่ว</c:v>
                </c:pt>
                <c:pt idx="4">
                  <c:v>🍫 ออริ + นูเทลา</c:v>
                </c:pt>
                <c:pt idx="5">
                  <c:v>🥜 ออริ + เนยถั่ว</c:v>
                </c:pt>
              </c:strCache>
            </c:strRef>
          </c:cat>
          <c:val>
            <c:numRef>
              <c:f>'📊 บันทึกรายรับ'!$E$4:$E$9</c:f>
              <c:numCache>
                <c:formatCode>#,##0.00</c:formatCode>
                <c:ptCount val="6"/>
                <c:pt idx="0">
                  <c:v>450</c:v>
                </c:pt>
                <c:pt idx="1">
                  <c:v>395</c:v>
                </c:pt>
                <c:pt idx="2">
                  <c:v>520</c:v>
                </c:pt>
                <c:pt idx="3">
                  <c:v>225</c:v>
                </c:pt>
                <c:pt idx="4">
                  <c:v>390</c:v>
                </c:pt>
                <c:pt idx="5">
                  <c:v>220</c:v>
                </c:pt>
              </c:numCache>
            </c:numRef>
          </c:val>
        </c:ser>
        <c:ser>
          <c:idx val="1"/>
          <c:order val="1"/>
          <c:tx>
            <c:strRef>
              <c:f>'📊 บันทึกรายรับ'!F3</c:f>
              <c:strCache>
                <c:ptCount val="1"/>
                <c:pt idx="0">
                  <c:v>ต้นทุนรวม (฿)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ED7D3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บันทึกรายรับ'!$A$4:$A$9</c:f>
              <c:strCache>
                <c:ptCount val="6"/>
                <c:pt idx="0">
                  <c:v>🍫 ออริจินัล</c:v>
                </c:pt>
                <c:pt idx="1">
                  <c:v>🍫 นูเทลา × 2</c:v>
                </c:pt>
                <c:pt idx="2">
                  <c:v>🥜 เนยถั่ว × 2</c:v>
                </c:pt>
                <c:pt idx="3">
                  <c:v>🍫🥜 นูเทลา + เนยถั่ว</c:v>
                </c:pt>
                <c:pt idx="4">
                  <c:v>🍫 ออริ + นูเทลา</c:v>
                </c:pt>
                <c:pt idx="5">
                  <c:v>🥜 ออริ + เนยถั่ว</c:v>
                </c:pt>
              </c:strCache>
            </c:strRef>
          </c:cat>
          <c:val>
            <c:numRef>
              <c:f>'📊 บันทึกรายรับ'!$F$4:$F$9</c:f>
              <c:numCache>
                <c:formatCode>#,##0.00</c:formatCode>
                <c:ptCount val="6"/>
                <c:pt idx="0">
                  <c:v>183.1</c:v>
                </c:pt>
                <c:pt idx="1">
                  <c:v>166.55</c:v>
                </c:pt>
                <c:pt idx="2">
                  <c:v>217.68</c:v>
                </c:pt>
                <c:pt idx="3">
                  <c:v>90.78</c:v>
                </c:pt>
                <c:pt idx="4">
                  <c:v>154.86</c:v>
                </c:pt>
                <c:pt idx="5">
                  <c:v>91.04</c:v>
                </c:pt>
              </c:numCache>
            </c:numRef>
          </c:val>
        </c:ser>
        <c:ser>
          <c:idx val="2"/>
          <c:order val="2"/>
          <c:tx>
            <c:strRef>
              <c:f>'📊 บันทึกรายรับ'!G3</c:f>
              <c:strCache>
                <c:ptCount val="1"/>
                <c:pt idx="0">
                  <c:v>กำไรสุทธิ (฿)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70AD47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บันทึกรายรับ'!$A$4:$A$9</c:f>
              <c:strCache>
                <c:ptCount val="6"/>
                <c:pt idx="0">
                  <c:v>🍫 ออริจินัล</c:v>
                </c:pt>
                <c:pt idx="1">
                  <c:v>🍫 นูเทลา × 2</c:v>
                </c:pt>
                <c:pt idx="2">
                  <c:v>🥜 เนยถั่ว × 2</c:v>
                </c:pt>
                <c:pt idx="3">
                  <c:v>🍫🥜 นูเทลา + เนยถั่ว</c:v>
                </c:pt>
                <c:pt idx="4">
                  <c:v>🍫 ออริ + นูเทลา</c:v>
                </c:pt>
                <c:pt idx="5">
                  <c:v>🥜 ออริ + เนยถั่ว</c:v>
                </c:pt>
              </c:strCache>
            </c:strRef>
          </c:cat>
          <c:val>
            <c:numRef>
              <c:f>'📊 บันทึกรายรับ'!$G$4:$G$9</c:f>
              <c:numCache>
                <c:formatCode>#,##0.00</c:formatCode>
                <c:ptCount val="6"/>
                <c:pt idx="0">
                  <c:v>266.9</c:v>
                </c:pt>
                <c:pt idx="1">
                  <c:v>228.45</c:v>
                </c:pt>
                <c:pt idx="2">
                  <c:v>302.32</c:v>
                </c:pt>
                <c:pt idx="3">
                  <c:v>134.22</c:v>
                </c:pt>
                <c:pt idx="4">
                  <c:v>235.14</c:v>
                </c:pt>
                <c:pt idx="5">
                  <c:v>128.96</c:v>
                </c:pt>
              </c:numCache>
            </c:numRef>
          </c:val>
        </c:ser>
        <c:gapWidth val="150"/>
        <c:overlap val="0"/>
        <c:axId val="75726393"/>
        <c:axId val="38145497"/>
      </c:barChart>
      <c:catAx>
        <c:axId val="75726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เมนู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145497"/>
        <c:crosses val="autoZero"/>
        <c:auto val="1"/>
        <c:lblAlgn val="ctr"/>
        <c:lblOffset val="100"/>
        <c:noMultiLvlLbl val="0"/>
      </c:catAx>
      <c:valAx>
        <c:axId val="38145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บาท (฿)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7263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สัดส่วนกำไรแต่ละเมนู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บันทึกรายรับ'!G3</c:f>
              <c:strCache>
                <c:ptCount val="1"/>
                <c:pt idx="0">
                  <c:v>กำไรสุทธิ (฿)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explosion val="1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'📊 บันทึกรายรับ'!$A$4:$A$9</c:f>
              <c:strCache>
                <c:ptCount val="6"/>
                <c:pt idx="0">
                  <c:v>🍫 ออริจินัล</c:v>
                </c:pt>
                <c:pt idx="1">
                  <c:v>🍫 นูเทลา × 2</c:v>
                </c:pt>
                <c:pt idx="2">
                  <c:v>🥜 เนยถั่ว × 2</c:v>
                </c:pt>
                <c:pt idx="3">
                  <c:v>🍫🥜 นูเทลา + เนยถั่ว</c:v>
                </c:pt>
                <c:pt idx="4">
                  <c:v>🍫 ออริ + นูเทลา</c:v>
                </c:pt>
                <c:pt idx="5">
                  <c:v>🥜 ออริ + เนยถั่ว</c:v>
                </c:pt>
              </c:strCache>
            </c:strRef>
          </c:cat>
          <c:val>
            <c:numRef>
              <c:f>'📊 บันทึกรายรับ'!$G$4:$G$9</c:f>
              <c:numCache>
                <c:formatCode>#,##0.00</c:formatCode>
                <c:ptCount val="6"/>
                <c:pt idx="0">
                  <c:v>266.9</c:v>
                </c:pt>
                <c:pt idx="1">
                  <c:v>228.45</c:v>
                </c:pt>
                <c:pt idx="2">
                  <c:v>302.32</c:v>
                </c:pt>
                <c:pt idx="3">
                  <c:v>134.22</c:v>
                </c:pt>
                <c:pt idx="4">
                  <c:v>235.14</c:v>
                </c:pt>
                <c:pt idx="5">
                  <c:v>128.96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อัตรากำไร % แยกตามเมนู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บันทึกรายรับ'!H3</c:f>
              <c:strCache>
                <c:ptCount val="1"/>
                <c:pt idx="0">
                  <c:v>กำไร %</c:v>
                </c:pt>
              </c:strCache>
            </c:strRef>
          </c:tx>
          <c:spPr>
            <a:solidFill>
              <a:srgbClr val="F5A623"/>
            </a:solidFill>
            <a:ln w="12600">
              <a:solidFill>
                <a:srgbClr val="5D3A1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5D3A1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บันทึกรายรับ'!$A$4:$A$9</c:f>
              <c:strCache>
                <c:ptCount val="6"/>
                <c:pt idx="0">
                  <c:v>🍫 ออริจินัล</c:v>
                </c:pt>
                <c:pt idx="1">
                  <c:v>🍫 นูเทลา × 2</c:v>
                </c:pt>
                <c:pt idx="2">
                  <c:v>🥜 เนยถั่ว × 2</c:v>
                </c:pt>
                <c:pt idx="3">
                  <c:v>🍫🥜 นูเทลา + เนยถั่ว</c:v>
                </c:pt>
                <c:pt idx="4">
                  <c:v>🍫 ออริ + นูเทลา</c:v>
                </c:pt>
                <c:pt idx="5">
                  <c:v>🥜 ออริ + เนยถั่ว</c:v>
                </c:pt>
              </c:strCache>
            </c:strRef>
          </c:cat>
          <c:val>
            <c:numRef>
              <c:f>'📊 บันทึกรายรับ'!$H$4:$H$9</c:f>
              <c:numCache>
                <c:formatCode>0.0%</c:formatCode>
                <c:ptCount val="6"/>
                <c:pt idx="0">
                  <c:v>0.593111111111111</c:v>
                </c:pt>
                <c:pt idx="1">
                  <c:v>0.578354430379747</c:v>
                </c:pt>
                <c:pt idx="2">
                  <c:v>0.581384615384615</c:v>
                </c:pt>
                <c:pt idx="3">
                  <c:v>0.596533333333333</c:v>
                </c:pt>
                <c:pt idx="4">
                  <c:v>0.602923076923077</c:v>
                </c:pt>
                <c:pt idx="5">
                  <c:v>0.586181818181818</c:v>
                </c:pt>
              </c:numCache>
            </c:numRef>
          </c:val>
        </c:ser>
        <c:gapWidth val="150"/>
        <c:overlap val="0"/>
        <c:axId val="1258232"/>
        <c:axId val="54984766"/>
      </c:barChart>
      <c:catAx>
        <c:axId val="125823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กำไร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984766"/>
        <c:crosses val="autoZero"/>
        <c:auto val="1"/>
        <c:lblAlgn val="ctr"/>
        <c:lblOffset val="100"/>
        <c:noMultiLvlLbl val="0"/>
      </c:catAx>
      <c:valAx>
        <c:axId val="549847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82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4</xdr:col>
      <xdr:colOff>1122840</xdr:colOff>
      <xdr:row>40</xdr:row>
      <xdr:rowOff>156960</xdr:rowOff>
    </xdr:to>
    <xdr:graphicFrame>
      <xdr:nvGraphicFramePr>
        <xdr:cNvPr id="1" name="Chart 1"/>
        <xdr:cNvGraphicFramePr/>
      </xdr:nvGraphicFramePr>
      <xdr:xfrm>
        <a:off x="0" y="4933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17</xdr:col>
      <xdr:colOff>152640</xdr:colOff>
      <xdr:row>40</xdr:row>
      <xdr:rowOff>156960</xdr:rowOff>
    </xdr:to>
    <xdr:graphicFrame>
      <xdr:nvGraphicFramePr>
        <xdr:cNvPr id="2" name="Chart 2"/>
        <xdr:cNvGraphicFramePr/>
      </xdr:nvGraphicFramePr>
      <xdr:xfrm>
        <a:off x="10055880" y="49338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4</xdr:col>
      <xdr:colOff>1122840</xdr:colOff>
      <xdr:row>54</xdr:row>
      <xdr:rowOff>9720</xdr:rowOff>
    </xdr:to>
    <xdr:graphicFrame>
      <xdr:nvGraphicFramePr>
        <xdr:cNvPr id="3" name="Chart 3"/>
        <xdr:cNvGraphicFramePr/>
      </xdr:nvGraphicFramePr>
      <xdr:xfrm>
        <a:off x="0" y="80103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4.25" hidden="false" customHeight="false" outlineLevel="0" collapsed="false">
      <c r="A3" s="3" t="n">
        <v>1</v>
      </c>
      <c r="B3" s="4" t="s">
        <v>8</v>
      </c>
      <c r="C3" s="5" t="n">
        <v>120</v>
      </c>
      <c r="D3" s="6" t="n">
        <v>20</v>
      </c>
      <c r="E3" s="4" t="s">
        <v>9</v>
      </c>
      <c r="F3" s="7" t="n">
        <f aca="false">C3/D3</f>
        <v>6</v>
      </c>
      <c r="G3" s="4" t="s">
        <v>10</v>
      </c>
    </row>
    <row r="4" customFormat="false" ht="14.25" hidden="false" customHeight="false" outlineLevel="0" collapsed="false">
      <c r="A4" s="8" t="n">
        <v>2</v>
      </c>
      <c r="B4" s="9" t="s">
        <v>11</v>
      </c>
      <c r="C4" s="10" t="n">
        <v>165</v>
      </c>
      <c r="D4" s="11" t="n">
        <v>50</v>
      </c>
      <c r="E4" s="9" t="s">
        <v>12</v>
      </c>
      <c r="F4" s="12" t="n">
        <f aca="false">C4/D4</f>
        <v>3.3</v>
      </c>
      <c r="G4" s="9" t="s">
        <v>13</v>
      </c>
    </row>
    <row r="5" customFormat="false" ht="14.25" hidden="false" customHeight="false" outlineLevel="0" collapsed="false">
      <c r="A5" s="3" t="n">
        <v>3</v>
      </c>
      <c r="B5" s="4" t="s">
        <v>14</v>
      </c>
      <c r="C5" s="5" t="n">
        <v>41</v>
      </c>
      <c r="D5" s="6" t="n">
        <v>100</v>
      </c>
      <c r="E5" s="4" t="s">
        <v>15</v>
      </c>
      <c r="F5" s="7" t="n">
        <f aca="false">C5/D5</f>
        <v>0.41</v>
      </c>
      <c r="G5" s="4" t="s">
        <v>16</v>
      </c>
    </row>
    <row r="6" customFormat="false" ht="14.25" hidden="false" customHeight="false" outlineLevel="0" collapsed="false">
      <c r="A6" s="8" t="n">
        <v>4</v>
      </c>
      <c r="B6" s="9" t="s">
        <v>17</v>
      </c>
      <c r="C6" s="10" t="n">
        <v>45</v>
      </c>
      <c r="D6" s="11" t="n">
        <v>50</v>
      </c>
      <c r="E6" s="9" t="s">
        <v>18</v>
      </c>
      <c r="F6" s="12" t="n">
        <f aca="false">C6/D6</f>
        <v>0.9</v>
      </c>
      <c r="G6" s="9" t="s">
        <v>19</v>
      </c>
    </row>
    <row r="7" customFormat="false" ht="14.25" hidden="false" customHeight="false" outlineLevel="0" collapsed="false">
      <c r="A7" s="3" t="n">
        <v>5</v>
      </c>
      <c r="B7" s="4" t="s">
        <v>20</v>
      </c>
      <c r="C7" s="5" t="n">
        <v>40</v>
      </c>
      <c r="D7" s="6" t="n">
        <v>1000</v>
      </c>
      <c r="E7" s="4" t="s">
        <v>18</v>
      </c>
      <c r="F7" s="7" t="n">
        <f aca="false">C7/D7</f>
        <v>0.04</v>
      </c>
      <c r="G7" s="4" t="s">
        <v>21</v>
      </c>
    </row>
    <row r="8" customFormat="false" ht="14.25" hidden="false" customHeight="false" outlineLevel="0" collapsed="false">
      <c r="A8" s="8" t="n">
        <v>6</v>
      </c>
      <c r="B8" s="9" t="s">
        <v>22</v>
      </c>
      <c r="C8" s="10" t="n">
        <v>150</v>
      </c>
      <c r="D8" s="11" t="n">
        <v>200</v>
      </c>
      <c r="E8" s="9" t="s">
        <v>18</v>
      </c>
      <c r="F8" s="12" t="n">
        <f aca="false">C8/D8</f>
        <v>0.75</v>
      </c>
      <c r="G8" s="9" t="s">
        <v>21</v>
      </c>
    </row>
    <row r="9" customFormat="false" ht="14.25" hidden="false" customHeight="false" outlineLevel="0" collapsed="false">
      <c r="A9" s="3" t="n">
        <v>7</v>
      </c>
      <c r="B9" s="4" t="s">
        <v>23</v>
      </c>
      <c r="C9" s="5" t="n">
        <v>89</v>
      </c>
      <c r="D9" s="6" t="n">
        <v>200</v>
      </c>
      <c r="E9" s="4" t="s">
        <v>18</v>
      </c>
      <c r="F9" s="7" t="n">
        <f aca="false">C9/D9</f>
        <v>0.445</v>
      </c>
      <c r="G9" s="4" t="s">
        <v>21</v>
      </c>
    </row>
    <row r="11" customFormat="false" ht="14.25" hidden="false" customHeight="false" outlineLevel="0" collapsed="false">
      <c r="A11" s="13" t="s">
        <v>24</v>
      </c>
      <c r="B11" s="13"/>
      <c r="C11" s="13"/>
      <c r="D11" s="13"/>
      <c r="E11" s="13"/>
      <c r="F11" s="13"/>
      <c r="G11" s="13"/>
    </row>
    <row r="12" customFormat="false" ht="14.25" hidden="false" customHeight="false" outlineLevel="0" collapsed="false">
      <c r="A12" s="14" t="s">
        <v>25</v>
      </c>
      <c r="B12" s="15" t="s">
        <v>26</v>
      </c>
      <c r="C12" s="16" t="s">
        <v>27</v>
      </c>
      <c r="D12" s="16"/>
      <c r="E12" s="16"/>
      <c r="F12" s="16"/>
      <c r="G12" s="16"/>
    </row>
    <row r="13" customFormat="false" ht="14.25" hidden="false" customHeight="false" outlineLevel="0" collapsed="false">
      <c r="A13" s="14" t="s">
        <v>28</v>
      </c>
      <c r="B13" s="15" t="s">
        <v>29</v>
      </c>
      <c r="C13" s="16" t="s">
        <v>30</v>
      </c>
      <c r="D13" s="16"/>
      <c r="E13" s="16"/>
      <c r="F13" s="16"/>
      <c r="G13" s="16"/>
    </row>
    <row r="14" customFormat="false" ht="14.25" hidden="false" customHeight="false" outlineLevel="0" collapsed="false">
      <c r="A14" s="14" t="s">
        <v>31</v>
      </c>
      <c r="B14" s="15" t="s">
        <v>29</v>
      </c>
      <c r="C14" s="16" t="s">
        <v>32</v>
      </c>
      <c r="D14" s="16"/>
      <c r="E14" s="16"/>
      <c r="F14" s="16"/>
      <c r="G14" s="16"/>
    </row>
    <row r="15" customFormat="false" ht="14.25" hidden="false" customHeight="false" outlineLevel="0" collapsed="false">
      <c r="A15" s="14" t="s">
        <v>33</v>
      </c>
      <c r="B15" s="15" t="s">
        <v>29</v>
      </c>
      <c r="C15" s="16" t="s">
        <v>32</v>
      </c>
      <c r="D15" s="16"/>
      <c r="E15" s="16"/>
      <c r="F15" s="16"/>
      <c r="G15" s="16"/>
    </row>
  </sheetData>
  <mergeCells count="6">
    <mergeCell ref="A1:G1"/>
    <mergeCell ref="A11:G11"/>
    <mergeCell ref="C12:G12"/>
    <mergeCell ref="C13:G13"/>
    <mergeCell ref="C14:G14"/>
    <mergeCell ref="C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36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H2" s="17" t="s">
        <v>35</v>
      </c>
      <c r="I2" s="17"/>
      <c r="J2" s="17"/>
    </row>
    <row r="3" customFormat="false" ht="14.25" hidden="false" customHeight="false" outlineLevel="0" collapsed="false">
      <c r="H3" s="18" t="s">
        <v>36</v>
      </c>
      <c r="I3" s="19" t="n">
        <f aca="false">'🧾 วัตถุดิบ'!F3</f>
        <v>6</v>
      </c>
      <c r="J3" s="20" t="s">
        <v>37</v>
      </c>
    </row>
    <row r="4" customFormat="false" ht="14.25" hidden="false" customHeight="false" outlineLevel="0" collapsed="false">
      <c r="H4" s="18" t="s">
        <v>38</v>
      </c>
      <c r="I4" s="19" t="n">
        <f aca="false">'🧾 วัตถุดิบ'!F4</f>
        <v>3.3</v>
      </c>
      <c r="J4" s="20" t="s">
        <v>37</v>
      </c>
    </row>
    <row r="5" customFormat="false" ht="14.25" hidden="false" customHeight="false" outlineLevel="0" collapsed="false">
      <c r="H5" s="18" t="s">
        <v>39</v>
      </c>
      <c r="I5" s="19" t="n">
        <f aca="false">'🧾 วัตถุดิบ'!F5</f>
        <v>0.41</v>
      </c>
      <c r="J5" s="20" t="s">
        <v>37</v>
      </c>
    </row>
    <row r="6" customFormat="false" ht="14.25" hidden="false" customHeight="false" outlineLevel="0" collapsed="false">
      <c r="H6" s="18" t="s">
        <v>40</v>
      </c>
      <c r="I6" s="19" t="n">
        <f aca="false">'🧾 วัตถุดิบ'!F6</f>
        <v>0.9</v>
      </c>
      <c r="J6" s="20" t="s">
        <v>37</v>
      </c>
    </row>
    <row r="7" customFormat="false" ht="14.25" hidden="false" customHeight="false" outlineLevel="0" collapsed="false">
      <c r="H7" s="18" t="s">
        <v>41</v>
      </c>
      <c r="I7" s="19" t="n">
        <f aca="false">'🧾 วัตถุดิบ'!F7</f>
        <v>0.04</v>
      </c>
      <c r="J7" s="20" t="s">
        <v>37</v>
      </c>
    </row>
    <row r="8" customFormat="false" ht="14.25" hidden="false" customHeight="false" outlineLevel="0" collapsed="false">
      <c r="H8" s="18" t="s">
        <v>42</v>
      </c>
      <c r="I8" s="19" t="n">
        <f aca="false">'🧾 วัตถุดิบ'!F8</f>
        <v>0.75</v>
      </c>
      <c r="J8" s="20" t="s">
        <v>37</v>
      </c>
    </row>
    <row r="9" customFormat="false" ht="14.25" hidden="false" customHeight="false" outlineLevel="0" collapsed="false">
      <c r="H9" s="18" t="s">
        <v>43</v>
      </c>
      <c r="I9" s="19" t="n">
        <f aca="false">'🧾 วัตถุดิบ'!F9</f>
        <v>0.445</v>
      </c>
      <c r="J9" s="20" t="s">
        <v>37</v>
      </c>
    </row>
    <row r="11" customFormat="false" ht="36" hidden="false" customHeight="true" outlineLevel="0" collapsed="false">
      <c r="A11" s="21" t="s">
        <v>44</v>
      </c>
      <c r="B11" s="21" t="s">
        <v>45</v>
      </c>
      <c r="C11" s="21" t="s">
        <v>46</v>
      </c>
      <c r="D11" s="21" t="s">
        <v>47</v>
      </c>
      <c r="E11" s="21" t="s">
        <v>48</v>
      </c>
      <c r="F11" s="21" t="s">
        <v>49</v>
      </c>
      <c r="G11" s="21" t="s">
        <v>50</v>
      </c>
      <c r="H11" s="21" t="s">
        <v>51</v>
      </c>
      <c r="I11" s="21" t="s">
        <v>52</v>
      </c>
      <c r="J11" s="21" t="s">
        <v>53</v>
      </c>
      <c r="K11" s="21" t="s">
        <v>54</v>
      </c>
    </row>
    <row r="12" customFormat="false" ht="21.75" hidden="false" customHeight="true" outlineLevel="0" collapsed="false">
      <c r="A12" s="22" t="s">
        <v>55</v>
      </c>
      <c r="B12" s="23" t="n">
        <f aca="false">$I$3*2</f>
        <v>12</v>
      </c>
      <c r="C12" s="23" t="n">
        <f aca="false">$I$4</f>
        <v>3.3</v>
      </c>
      <c r="D12" s="23" t="n">
        <f aca="false">$I$5</f>
        <v>0.41</v>
      </c>
      <c r="E12" s="23" t="n">
        <f aca="false">$I$6*1*2</f>
        <v>1.8</v>
      </c>
      <c r="F12" s="23" t="n">
        <f aca="false">$I$7*10*2</f>
        <v>0.8</v>
      </c>
      <c r="G12" s="23" t="s">
        <v>56</v>
      </c>
      <c r="H12" s="24" t="n">
        <f aca="false">B12+C12+D12+E12+F12+G12</f>
        <v>18.31</v>
      </c>
      <c r="I12" s="25" t="n">
        <v>45</v>
      </c>
      <c r="J12" s="26" t="n">
        <f aca="false">I12-H12</f>
        <v>26.69</v>
      </c>
      <c r="K12" s="27" t="n">
        <f aca="false">IF(I12&gt;0,J12/I12,0)</f>
        <v>0.593111111111111</v>
      </c>
    </row>
    <row r="13" customFormat="false" ht="21.75" hidden="false" customHeight="true" outlineLevel="0" collapsed="false">
      <c r="A13" s="28" t="s">
        <v>57</v>
      </c>
      <c r="B13" s="29" t="n">
        <f aca="false">$I$3*2</f>
        <v>12</v>
      </c>
      <c r="C13" s="29" t="n">
        <f aca="false">$I$4</f>
        <v>3.3</v>
      </c>
      <c r="D13" s="29" t="n">
        <f aca="false">$I$5</f>
        <v>0.41</v>
      </c>
      <c r="E13" s="29" t="n">
        <f aca="false">$I$6*1*2</f>
        <v>1.8</v>
      </c>
      <c r="F13" s="29" t="n">
        <f aca="false">$I$7*10*2</f>
        <v>0.8</v>
      </c>
      <c r="G13" s="29" t="n">
        <f aca="false">$I$8*10*2</f>
        <v>15</v>
      </c>
      <c r="H13" s="30" t="n">
        <f aca="false">B13+C13+D13+E13+F13+G13</f>
        <v>33.31</v>
      </c>
      <c r="I13" s="31" t="n">
        <v>79</v>
      </c>
      <c r="J13" s="32" t="n">
        <f aca="false">I13-H13</f>
        <v>45.69</v>
      </c>
      <c r="K13" s="33" t="n">
        <f aca="false">IF(I13&gt;0,J13/I13,0)</f>
        <v>0.578354430379747</v>
      </c>
    </row>
    <row r="14" customFormat="false" ht="21.75" hidden="false" customHeight="true" outlineLevel="0" collapsed="false">
      <c r="A14" s="22" t="s">
        <v>58</v>
      </c>
      <c r="B14" s="23" t="n">
        <f aca="false">$I$3*2</f>
        <v>12</v>
      </c>
      <c r="C14" s="23" t="n">
        <f aca="false">$I$4</f>
        <v>3.3</v>
      </c>
      <c r="D14" s="23" t="n">
        <f aca="false">$I$5</f>
        <v>0.41</v>
      </c>
      <c r="E14" s="23" t="n">
        <f aca="false">$I$6*1*2</f>
        <v>1.8</v>
      </c>
      <c r="F14" s="23" t="n">
        <f aca="false">$I$7*10*2</f>
        <v>0.8</v>
      </c>
      <c r="G14" s="23" t="n">
        <f aca="false">$I$9*10*2</f>
        <v>8.9</v>
      </c>
      <c r="H14" s="24" t="n">
        <f aca="false">B14+C14+D14+E14+F14+G14</f>
        <v>27.21</v>
      </c>
      <c r="I14" s="25" t="n">
        <v>65</v>
      </c>
      <c r="J14" s="26" t="n">
        <f aca="false">I14-H14</f>
        <v>37.79</v>
      </c>
      <c r="K14" s="27" t="n">
        <f aca="false">IF(I14&gt;0,J14/I14,0)</f>
        <v>0.581384615384615</v>
      </c>
    </row>
    <row r="15" customFormat="false" ht="21.75" hidden="false" customHeight="true" outlineLevel="0" collapsed="false">
      <c r="A15" s="28" t="s">
        <v>59</v>
      </c>
      <c r="B15" s="29" t="n">
        <f aca="false">$I$3*2</f>
        <v>12</v>
      </c>
      <c r="C15" s="29" t="n">
        <f aca="false">$I$4</f>
        <v>3.3</v>
      </c>
      <c r="D15" s="29" t="n">
        <f aca="false">$I$5</f>
        <v>0.41</v>
      </c>
      <c r="E15" s="29" t="n">
        <f aca="false">$I$6*1*2</f>
        <v>1.8</v>
      </c>
      <c r="F15" s="29" t="n">
        <f aca="false">$I$7*10*2</f>
        <v>0.8</v>
      </c>
      <c r="G15" s="29" t="n">
        <f aca="false">$I$8*10*1+$I$9*10*1</f>
        <v>11.95</v>
      </c>
      <c r="H15" s="30" t="n">
        <f aca="false">B15+C15+D15+E15+F15+G15</f>
        <v>30.26</v>
      </c>
      <c r="I15" s="31" t="n">
        <v>75</v>
      </c>
      <c r="J15" s="32" t="n">
        <f aca="false">I15-H15</f>
        <v>44.74</v>
      </c>
      <c r="K15" s="33" t="n">
        <f aca="false">IF(I15&gt;0,J15/I15,0)</f>
        <v>0.596533333333333</v>
      </c>
    </row>
    <row r="16" customFormat="false" ht="21.75" hidden="false" customHeight="true" outlineLevel="0" collapsed="false">
      <c r="A16" s="22" t="s">
        <v>60</v>
      </c>
      <c r="B16" s="23" t="n">
        <f aca="false">$I$3*2</f>
        <v>12</v>
      </c>
      <c r="C16" s="23" t="n">
        <f aca="false">$I$4</f>
        <v>3.3</v>
      </c>
      <c r="D16" s="23" t="n">
        <f aca="false">$I$5</f>
        <v>0.41</v>
      </c>
      <c r="E16" s="23" t="n">
        <f aca="false">$I$6*1*2</f>
        <v>1.8</v>
      </c>
      <c r="F16" s="23" t="n">
        <f aca="false">$I$7*10*2</f>
        <v>0.8</v>
      </c>
      <c r="G16" s="23" t="n">
        <f aca="false">$I$8*10*1</f>
        <v>7.5</v>
      </c>
      <c r="H16" s="24" t="n">
        <f aca="false">B16+C16+D16+E16+F16+G16</f>
        <v>25.81</v>
      </c>
      <c r="I16" s="25" t="n">
        <v>65</v>
      </c>
      <c r="J16" s="26" t="n">
        <f aca="false">I16-H16</f>
        <v>39.19</v>
      </c>
      <c r="K16" s="27" t="n">
        <f aca="false">IF(I16&gt;0,J16/I16,0)</f>
        <v>0.602923076923077</v>
      </c>
    </row>
    <row r="17" customFormat="false" ht="21.75" hidden="false" customHeight="true" outlineLevel="0" collapsed="false">
      <c r="A17" s="28" t="s">
        <v>61</v>
      </c>
      <c r="B17" s="29" t="n">
        <f aca="false">$I$3*2</f>
        <v>12</v>
      </c>
      <c r="C17" s="29" t="n">
        <f aca="false">$I$4</f>
        <v>3.3</v>
      </c>
      <c r="D17" s="29" t="n">
        <f aca="false">$I$5</f>
        <v>0.41</v>
      </c>
      <c r="E17" s="29" t="n">
        <f aca="false">$I$6*1*2</f>
        <v>1.8</v>
      </c>
      <c r="F17" s="29" t="n">
        <f aca="false">$I$7*10*2</f>
        <v>0.8</v>
      </c>
      <c r="G17" s="29" t="n">
        <f aca="false">$I$9*10*1</f>
        <v>4.45</v>
      </c>
      <c r="H17" s="30" t="n">
        <f aca="false">B17+C17+D17+E17+F17+G17</f>
        <v>22.76</v>
      </c>
      <c r="I17" s="31" t="n">
        <v>55</v>
      </c>
      <c r="J17" s="32" t="n">
        <f aca="false">I17-H17</f>
        <v>32.24</v>
      </c>
      <c r="K17" s="33" t="n">
        <f aca="false">IF(I17&gt;0,J17/I17,0)</f>
        <v>0.586181818181818</v>
      </c>
    </row>
    <row r="19" customFormat="false" ht="11.9" hidden="false" customHeight="false" outlineLevel="0" collapsed="false">
      <c r="A19" s="34" t="s">
        <v>62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</sheetData>
  <mergeCells count="3">
    <mergeCell ref="A1:J1"/>
    <mergeCell ref="H2:J2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F14" activeCellId="0" sqref="F14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6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35" t="s">
        <v>64</v>
      </c>
      <c r="B2" s="35"/>
      <c r="C2" s="35"/>
      <c r="D2" s="35"/>
      <c r="E2" s="35"/>
      <c r="F2" s="35"/>
      <c r="G2" s="35"/>
      <c r="H2" s="35"/>
    </row>
    <row r="3" customFormat="false" ht="30" hidden="false" customHeight="true" outlineLevel="0" collapsed="false">
      <c r="A3" s="36" t="s">
        <v>44</v>
      </c>
      <c r="B3" s="36" t="s">
        <v>65</v>
      </c>
      <c r="C3" s="36" t="s">
        <v>66</v>
      </c>
      <c r="D3" s="36" t="s">
        <v>67</v>
      </c>
      <c r="E3" s="36" t="s">
        <v>68</v>
      </c>
      <c r="F3" s="36" t="s">
        <v>69</v>
      </c>
      <c r="G3" s="36" t="s">
        <v>70</v>
      </c>
      <c r="H3" s="36" t="s">
        <v>54</v>
      </c>
    </row>
    <row r="4" customFormat="false" ht="21.75" hidden="false" customHeight="true" outlineLevel="0" collapsed="false">
      <c r="A4" s="22" t="s">
        <v>71</v>
      </c>
      <c r="B4" s="23" t="n">
        <f aca="false">'💰 ต้นทุน &amp; ราคาขาย'!I12</f>
        <v>45</v>
      </c>
      <c r="C4" s="23" t="n">
        <f aca="false">'💰 ต้นทุน &amp; ราคาขาย'!H12</f>
        <v>18.31</v>
      </c>
      <c r="D4" s="37" t="n">
        <v>10</v>
      </c>
      <c r="E4" s="7" t="n">
        <f aca="false">B4*D4</f>
        <v>450</v>
      </c>
      <c r="F4" s="7" t="n">
        <f aca="false">C4*D4</f>
        <v>183.1</v>
      </c>
      <c r="G4" s="26" t="n">
        <f aca="false">E4-F4</f>
        <v>266.9</v>
      </c>
      <c r="H4" s="27" t="n">
        <f aca="false">IF(E4&gt;0,G4/E4,0)</f>
        <v>0.593111111111111</v>
      </c>
    </row>
    <row r="5" customFormat="false" ht="21.75" hidden="false" customHeight="true" outlineLevel="0" collapsed="false">
      <c r="A5" s="28" t="s">
        <v>57</v>
      </c>
      <c r="B5" s="29" t="n">
        <f aca="false">'💰 ต้นทุน &amp; ราคาขาย'!I13</f>
        <v>79</v>
      </c>
      <c r="C5" s="29" t="n">
        <f aca="false">'💰 ต้นทุน &amp; ราคาขาย'!H13</f>
        <v>33.31</v>
      </c>
      <c r="D5" s="38" t="n">
        <v>5</v>
      </c>
      <c r="E5" s="12" t="n">
        <f aca="false">B5*D5</f>
        <v>395</v>
      </c>
      <c r="F5" s="12" t="n">
        <f aca="false">C5*D5</f>
        <v>166.55</v>
      </c>
      <c r="G5" s="32" t="n">
        <f aca="false">E5-F5</f>
        <v>228.45</v>
      </c>
      <c r="H5" s="33" t="n">
        <f aca="false">IF(E5&gt;0,G5/E5,0)</f>
        <v>0.578354430379747</v>
      </c>
    </row>
    <row r="6" customFormat="false" ht="21.75" hidden="false" customHeight="true" outlineLevel="0" collapsed="false">
      <c r="A6" s="22" t="s">
        <v>58</v>
      </c>
      <c r="B6" s="23" t="n">
        <f aca="false">'💰 ต้นทุน &amp; ราคาขาย'!I14</f>
        <v>65</v>
      </c>
      <c r="C6" s="23" t="n">
        <f aca="false">'💰 ต้นทุน &amp; ราคาขาย'!H14</f>
        <v>27.21</v>
      </c>
      <c r="D6" s="37" t="n">
        <v>8</v>
      </c>
      <c r="E6" s="7" t="n">
        <f aca="false">B6*D6</f>
        <v>520</v>
      </c>
      <c r="F6" s="7" t="n">
        <f aca="false">C6*D6</f>
        <v>217.68</v>
      </c>
      <c r="G6" s="26" t="n">
        <f aca="false">E6-F6</f>
        <v>302.32</v>
      </c>
      <c r="H6" s="27" t="n">
        <f aca="false">IF(E6&gt;0,G6/E6,0)</f>
        <v>0.581384615384615</v>
      </c>
    </row>
    <row r="7" customFormat="false" ht="21.75" hidden="false" customHeight="true" outlineLevel="0" collapsed="false">
      <c r="A7" s="28" t="s">
        <v>72</v>
      </c>
      <c r="B7" s="29" t="n">
        <f aca="false">'💰 ต้นทุน &amp; ราคาขาย'!I15</f>
        <v>75</v>
      </c>
      <c r="C7" s="29" t="n">
        <f aca="false">'💰 ต้นทุน &amp; ราคาขาย'!H15</f>
        <v>30.26</v>
      </c>
      <c r="D7" s="38" t="n">
        <v>3</v>
      </c>
      <c r="E7" s="12" t="n">
        <f aca="false">B7*D7</f>
        <v>225</v>
      </c>
      <c r="F7" s="12" t="n">
        <f aca="false">C7*D7</f>
        <v>90.78</v>
      </c>
      <c r="G7" s="32" t="n">
        <f aca="false">E7-F7</f>
        <v>134.22</v>
      </c>
      <c r="H7" s="33" t="n">
        <f aca="false">IF(E7&gt;0,G7/E7,0)</f>
        <v>0.596533333333333</v>
      </c>
    </row>
    <row r="8" customFormat="false" ht="21.75" hidden="false" customHeight="true" outlineLevel="0" collapsed="false">
      <c r="A8" s="22" t="s">
        <v>73</v>
      </c>
      <c r="B8" s="23" t="n">
        <f aca="false">'💰 ต้นทุน &amp; ราคาขาย'!I16</f>
        <v>65</v>
      </c>
      <c r="C8" s="23" t="n">
        <f aca="false">'💰 ต้นทุน &amp; ราคาขาย'!H16</f>
        <v>25.81</v>
      </c>
      <c r="D8" s="37" t="n">
        <v>6</v>
      </c>
      <c r="E8" s="7" t="n">
        <f aca="false">B8*D8</f>
        <v>390</v>
      </c>
      <c r="F8" s="7" t="n">
        <f aca="false">C8*D8</f>
        <v>154.86</v>
      </c>
      <c r="G8" s="26" t="n">
        <f aca="false">E8-F8</f>
        <v>235.14</v>
      </c>
      <c r="H8" s="27" t="n">
        <f aca="false">IF(E8&gt;0,G8/E8,0)</f>
        <v>0.602923076923077</v>
      </c>
    </row>
    <row r="9" customFormat="false" ht="21.75" hidden="false" customHeight="true" outlineLevel="0" collapsed="false">
      <c r="A9" s="28" t="s">
        <v>74</v>
      </c>
      <c r="B9" s="29" t="n">
        <f aca="false">'💰 ต้นทุน &amp; ราคาขาย'!I17</f>
        <v>55</v>
      </c>
      <c r="C9" s="29" t="n">
        <f aca="false">'💰 ต้นทุน &amp; ราคาขาย'!H17</f>
        <v>22.76</v>
      </c>
      <c r="D9" s="38" t="n">
        <v>4</v>
      </c>
      <c r="E9" s="12" t="n">
        <f aca="false">B9*D9</f>
        <v>220</v>
      </c>
      <c r="F9" s="12" t="n">
        <f aca="false">C9*D9</f>
        <v>91.04</v>
      </c>
      <c r="G9" s="32" t="n">
        <f aca="false">E9-F9</f>
        <v>128.96</v>
      </c>
      <c r="H9" s="33" t="n">
        <f aca="false">IF(E9&gt;0,G9/E9,0)</f>
        <v>0.586181818181818</v>
      </c>
    </row>
    <row r="10" customFormat="false" ht="25.5" hidden="false" customHeight="true" outlineLevel="0" collapsed="false">
      <c r="A10" s="39" t="s">
        <v>75</v>
      </c>
      <c r="B10" s="39"/>
      <c r="C10" s="39"/>
      <c r="D10" s="40" t="n">
        <f aca="false">SUM(D4:D9)</f>
        <v>36</v>
      </c>
      <c r="E10" s="41" t="n">
        <f aca="false">SUM(E4:E9)</f>
        <v>2200</v>
      </c>
      <c r="F10" s="41" t="n">
        <f aca="false">SUM(F4:F9)</f>
        <v>904.01</v>
      </c>
      <c r="G10" s="41" t="n">
        <f aca="false">SUM(G4:G9)</f>
        <v>1295.99</v>
      </c>
      <c r="H10" s="42" t="n">
        <f aca="false">IF(E10&gt;0,G10/E10,0)</f>
        <v>0.589086363636364</v>
      </c>
    </row>
    <row r="12" customFormat="false" ht="14.25" hidden="false" customHeight="false" outlineLevel="0" collapsed="false">
      <c r="A12" s="43" t="s">
        <v>76</v>
      </c>
      <c r="B12" s="43"/>
      <c r="C12" s="43"/>
      <c r="D12" s="43"/>
      <c r="E12" s="43"/>
      <c r="F12" s="43"/>
      <c r="G12" s="43"/>
      <c r="H12" s="43"/>
    </row>
    <row r="14" customFormat="false" ht="30" hidden="false" customHeight="true" outlineLevel="0" collapsed="false">
      <c r="A14" s="44" t="s">
        <v>77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 customFormat="false" ht="21.75" hidden="false" customHeight="true" outlineLevel="0" collapsed="false">
      <c r="A15" s="21" t="s">
        <v>78</v>
      </c>
      <c r="B15" s="21"/>
      <c r="C15" s="21" t="s">
        <v>79</v>
      </c>
      <c r="D15" s="21"/>
      <c r="E15" s="21" t="s">
        <v>80</v>
      </c>
      <c r="F15" s="21"/>
      <c r="G15" s="21" t="s">
        <v>81</v>
      </c>
      <c r="H15" s="21"/>
      <c r="I15" s="21" t="s">
        <v>82</v>
      </c>
      <c r="J15" s="21"/>
    </row>
    <row r="16" customFormat="false" ht="30" hidden="false" customHeight="true" outlineLevel="0" collapsed="false">
      <c r="A16" s="45" t="n">
        <f aca="false">E10</f>
        <v>2200</v>
      </c>
      <c r="B16" s="45"/>
      <c r="C16" s="46" t="n">
        <f aca="false">F10</f>
        <v>904.01</v>
      </c>
      <c r="D16" s="46"/>
      <c r="E16" s="47" t="n">
        <f aca="false">G10</f>
        <v>1295.99</v>
      </c>
      <c r="F16" s="47"/>
      <c r="G16" s="48" t="n">
        <f aca="false">IF(E10&gt;0,G10/E10,0)</f>
        <v>0.589086363636364</v>
      </c>
      <c r="H16" s="48"/>
      <c r="I16" s="49" t="n">
        <f aca="false">D10</f>
        <v>36</v>
      </c>
      <c r="J16" s="49"/>
    </row>
    <row r="52" customFormat="false" ht="11.9" hidden="false" customHeight="false" outlineLevel="0" collapsed="false">
      <c r="A52" s="50" t="s">
        <v>83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</row>
  </sheetData>
  <mergeCells count="16">
    <mergeCell ref="A1:I1"/>
    <mergeCell ref="A2:H2"/>
    <mergeCell ref="A10:C10"/>
    <mergeCell ref="A12:H12"/>
    <mergeCell ref="A14:L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52:L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9" style="0" width="16"/>
  </cols>
  <sheetData>
    <row r="1" customFormat="false" ht="36" hidden="false" customHeight="true" outlineLevel="0" collapsed="false">
      <c r="A1" s="51" t="s">
        <v>84</v>
      </c>
      <c r="B1" s="51"/>
      <c r="C1" s="51"/>
      <c r="D1" s="51"/>
      <c r="E1" s="51"/>
      <c r="F1" s="51"/>
      <c r="G1" s="51"/>
      <c r="H1" s="51"/>
      <c r="I1" s="51"/>
      <c r="J1" s="51"/>
    </row>
    <row r="2" customFormat="false" ht="15" hidden="false" customHeight="true" outlineLevel="0" collapsed="false">
      <c r="A2" s="52" t="s">
        <v>85</v>
      </c>
      <c r="B2" s="52"/>
      <c r="C2" s="52"/>
      <c r="D2" s="53" t="n">
        <v>0.3</v>
      </c>
      <c r="E2" s="20" t="s">
        <v>86</v>
      </c>
    </row>
    <row r="3" customFormat="false" ht="11.9" hidden="false" customHeight="false" outlineLevel="0" collapsed="false">
      <c r="A3" s="54" t="s">
        <v>87</v>
      </c>
      <c r="B3" s="54"/>
      <c r="C3" s="54"/>
      <c r="D3" s="54"/>
      <c r="E3" s="54"/>
      <c r="F3" s="54"/>
      <c r="G3" s="54"/>
      <c r="H3" s="54"/>
      <c r="I3" s="54"/>
      <c r="J3" s="54"/>
    </row>
    <row r="5" customFormat="false" ht="39.75" hidden="false" customHeight="true" outlineLevel="0" collapsed="false">
      <c r="A5" s="21" t="s">
        <v>44</v>
      </c>
      <c r="B5" s="21" t="s">
        <v>88</v>
      </c>
      <c r="C5" s="21" t="s">
        <v>51</v>
      </c>
      <c r="D5" s="21" t="s">
        <v>89</v>
      </c>
      <c r="E5" s="21" t="s">
        <v>90</v>
      </c>
      <c r="F5" s="21" t="s">
        <v>91</v>
      </c>
      <c r="G5" s="21" t="s">
        <v>92</v>
      </c>
      <c r="H5" s="21" t="s">
        <v>54</v>
      </c>
      <c r="I5" s="21" t="s">
        <v>93</v>
      </c>
      <c r="J5" s="21" t="s">
        <v>94</v>
      </c>
    </row>
    <row r="6" customFormat="false" ht="21.75" hidden="false" customHeight="true" outlineLevel="0" collapsed="false">
      <c r="A6" s="22" t="s">
        <v>71</v>
      </c>
      <c r="B6" s="7" t="n">
        <f aca="false">'💰 ต้นทุน &amp; ราคาขาย'!I12</f>
        <v>45</v>
      </c>
      <c r="C6" s="7" t="n">
        <f aca="false">'💰 ต้นทุน &amp; ราคาขาย'!H12</f>
        <v>18.31</v>
      </c>
      <c r="D6" s="55" t="n">
        <f aca="false">$D$2</f>
        <v>0.3</v>
      </c>
      <c r="E6" s="56" t="n">
        <f aca="false">'💰 ต้นทุน &amp; ราคาขาย'!I12/(1-$D$2)</f>
        <v>64.2857142857143</v>
      </c>
      <c r="F6" s="57" t="n">
        <v>65</v>
      </c>
      <c r="G6" s="7" t="n">
        <f aca="false">F6*(1-$D$2)-C6</f>
        <v>27.19</v>
      </c>
      <c r="H6" s="27" t="n">
        <f aca="false">IF(F6&gt;0,G6/F6,0)</f>
        <v>0.418307692307692</v>
      </c>
      <c r="I6" s="57" t="n">
        <v>65</v>
      </c>
      <c r="J6" s="57" t="n">
        <v>65</v>
      </c>
    </row>
    <row r="7" customFormat="false" ht="21.75" hidden="false" customHeight="true" outlineLevel="0" collapsed="false">
      <c r="A7" s="28" t="s">
        <v>57</v>
      </c>
      <c r="B7" s="12" t="n">
        <f aca="false">'💰 ต้นทุน &amp; ราคาขาย'!I13</f>
        <v>79</v>
      </c>
      <c r="C7" s="12" t="n">
        <f aca="false">'💰 ต้นทุน &amp; ราคาขาย'!H13</f>
        <v>33.31</v>
      </c>
      <c r="D7" s="58" t="n">
        <f aca="false">$D$2</f>
        <v>0.3</v>
      </c>
      <c r="E7" s="59" t="n">
        <f aca="false">'💰 ต้นทุน &amp; ราคาขาย'!I13/(1-$D$2)</f>
        <v>112.857142857143</v>
      </c>
      <c r="F7" s="60" t="n">
        <v>115</v>
      </c>
      <c r="G7" s="12" t="n">
        <f aca="false">F7*(1-$D$2)-C7</f>
        <v>47.19</v>
      </c>
      <c r="H7" s="33" t="n">
        <f aca="false">IF(F7&gt;0,G7/F7,0)</f>
        <v>0.410347826086957</v>
      </c>
      <c r="I7" s="60" t="n">
        <v>115</v>
      </c>
      <c r="J7" s="60" t="n">
        <v>115</v>
      </c>
    </row>
    <row r="8" customFormat="false" ht="21.75" hidden="false" customHeight="true" outlineLevel="0" collapsed="false">
      <c r="A8" s="22" t="s">
        <v>58</v>
      </c>
      <c r="B8" s="7" t="n">
        <f aca="false">'💰 ต้นทุน &amp; ราคาขาย'!I14</f>
        <v>65</v>
      </c>
      <c r="C8" s="7" t="n">
        <f aca="false">'💰 ต้นทุน &amp; ราคาขาย'!H14</f>
        <v>27.21</v>
      </c>
      <c r="D8" s="55" t="n">
        <f aca="false">$D$2</f>
        <v>0.3</v>
      </c>
      <c r="E8" s="56" t="n">
        <f aca="false">'💰 ต้นทุน &amp; ราคาขาย'!I14/(1-$D$2)</f>
        <v>92.8571428571429</v>
      </c>
      <c r="F8" s="57" t="n">
        <v>95</v>
      </c>
      <c r="G8" s="7" t="n">
        <f aca="false">F8*(1-$D$2)-C8</f>
        <v>39.29</v>
      </c>
      <c r="H8" s="27" t="n">
        <f aca="false">IF(F8&gt;0,G8/F8,0)</f>
        <v>0.413578947368421</v>
      </c>
      <c r="I8" s="57" t="n">
        <v>95</v>
      </c>
      <c r="J8" s="57" t="n">
        <v>95</v>
      </c>
    </row>
    <row r="9" customFormat="false" ht="21.75" hidden="false" customHeight="true" outlineLevel="0" collapsed="false">
      <c r="A9" s="28" t="s">
        <v>72</v>
      </c>
      <c r="B9" s="12" t="n">
        <f aca="false">'💰 ต้นทุน &amp; ราคาขาย'!I15</f>
        <v>75</v>
      </c>
      <c r="C9" s="12" t="n">
        <f aca="false">'💰 ต้นทุน &amp; ราคาขาย'!H15</f>
        <v>30.26</v>
      </c>
      <c r="D9" s="58" t="n">
        <f aca="false">$D$2</f>
        <v>0.3</v>
      </c>
      <c r="E9" s="59" t="n">
        <f aca="false">'💰 ต้นทุน &amp; ราคาขาย'!I15/(1-$D$2)</f>
        <v>107.142857142857</v>
      </c>
      <c r="F9" s="60" t="n">
        <v>109</v>
      </c>
      <c r="G9" s="12" t="n">
        <f aca="false">F9*(1-$D$2)-C9</f>
        <v>46.04</v>
      </c>
      <c r="H9" s="33" t="n">
        <f aca="false">IF(F9&gt;0,G9/F9,0)</f>
        <v>0.422385321100917</v>
      </c>
      <c r="I9" s="60" t="n">
        <v>109</v>
      </c>
      <c r="J9" s="60" t="n">
        <v>109</v>
      </c>
    </row>
    <row r="10" customFormat="false" ht="21.75" hidden="false" customHeight="true" outlineLevel="0" collapsed="false">
      <c r="A10" s="22" t="s">
        <v>73</v>
      </c>
      <c r="B10" s="7" t="n">
        <f aca="false">'💰 ต้นทุน &amp; ราคาขาย'!I16</f>
        <v>65</v>
      </c>
      <c r="C10" s="7" t="n">
        <f aca="false">'💰 ต้นทุน &amp; ราคาขาย'!H16</f>
        <v>25.81</v>
      </c>
      <c r="D10" s="55" t="n">
        <f aca="false">$D$2</f>
        <v>0.3</v>
      </c>
      <c r="E10" s="56" t="n">
        <f aca="false">'💰 ต้นทุน &amp; ราคาขาย'!I16/(1-$D$2)</f>
        <v>92.8571428571429</v>
      </c>
      <c r="F10" s="57" t="n">
        <v>95</v>
      </c>
      <c r="G10" s="7" t="n">
        <f aca="false">F10*(1-$D$2)-C10</f>
        <v>40.69</v>
      </c>
      <c r="H10" s="27" t="n">
        <f aca="false">IF(F10&gt;0,G10/F10,0)</f>
        <v>0.428315789473684</v>
      </c>
      <c r="I10" s="57" t="n">
        <v>95</v>
      </c>
      <c r="J10" s="57" t="n">
        <v>95</v>
      </c>
    </row>
    <row r="11" customFormat="false" ht="21.75" hidden="false" customHeight="true" outlineLevel="0" collapsed="false">
      <c r="A11" s="28" t="s">
        <v>74</v>
      </c>
      <c r="B11" s="12" t="n">
        <f aca="false">'💰 ต้นทุน &amp; ราคาขาย'!I17</f>
        <v>55</v>
      </c>
      <c r="C11" s="12" t="n">
        <f aca="false">'💰 ต้นทุน &amp; ราคาขาย'!H17</f>
        <v>22.76</v>
      </c>
      <c r="D11" s="58" t="n">
        <f aca="false">$D$2</f>
        <v>0.3</v>
      </c>
      <c r="E11" s="59" t="n">
        <f aca="false">'💰 ต้นทุน &amp; ราคาขาย'!I17/(1-$D$2)</f>
        <v>78.5714285714286</v>
      </c>
      <c r="F11" s="60" t="n">
        <v>79</v>
      </c>
      <c r="G11" s="12" t="n">
        <f aca="false">F11*(1-$D$2)-C11</f>
        <v>32.54</v>
      </c>
      <c r="H11" s="33" t="n">
        <f aca="false">IF(F11&gt;0,G11/F11,0)</f>
        <v>0.411898734177215</v>
      </c>
      <c r="I11" s="60" t="n">
        <v>79</v>
      </c>
      <c r="J11" s="60" t="n">
        <v>79</v>
      </c>
    </row>
    <row r="14" customFormat="false" ht="27.75" hidden="false" customHeight="true" outlineLevel="0" collapsed="false">
      <c r="A14" s="35" t="s">
        <v>95</v>
      </c>
      <c r="B14" s="35"/>
      <c r="C14" s="35"/>
      <c r="D14" s="35"/>
      <c r="E14" s="35"/>
      <c r="F14" s="35"/>
      <c r="G14" s="35"/>
      <c r="H14" s="35"/>
      <c r="I14" s="35"/>
      <c r="J14" s="35"/>
    </row>
    <row r="15" customFormat="false" ht="18" hidden="false" customHeight="true" outlineLevel="0" collapsed="false">
      <c r="A15" s="61" t="s">
        <v>96</v>
      </c>
      <c r="B15" s="61"/>
      <c r="C15" s="61"/>
      <c r="D15" s="61"/>
      <c r="E15" s="61"/>
      <c r="F15" s="61"/>
      <c r="G15" s="61"/>
      <c r="H15" s="61"/>
      <c r="I15" s="61"/>
      <c r="J15" s="61"/>
    </row>
    <row r="16" customFormat="false" ht="18" hidden="false" customHeight="true" outlineLevel="0" collapsed="false">
      <c r="A16" s="62" t="s">
        <v>97</v>
      </c>
      <c r="B16" s="62"/>
      <c r="C16" s="62"/>
      <c r="D16" s="62"/>
      <c r="E16" s="62"/>
      <c r="F16" s="62"/>
      <c r="G16" s="62"/>
      <c r="H16" s="62"/>
      <c r="I16" s="62"/>
      <c r="J16" s="62"/>
    </row>
    <row r="17" customFormat="false" ht="18" hidden="false" customHeight="true" outlineLevel="0" collapsed="false">
      <c r="A17" s="61" t="s">
        <v>98</v>
      </c>
      <c r="B17" s="61"/>
      <c r="C17" s="61"/>
      <c r="D17" s="61"/>
      <c r="E17" s="61"/>
      <c r="F17" s="61"/>
      <c r="G17" s="61"/>
      <c r="H17" s="61"/>
      <c r="I17" s="61"/>
      <c r="J17" s="61"/>
    </row>
    <row r="18" customFormat="false" ht="18" hidden="false" customHeight="true" outlineLevel="0" collapsed="false">
      <c r="A18" s="62" t="s">
        <v>99</v>
      </c>
      <c r="B18" s="62"/>
      <c r="C18" s="62"/>
      <c r="D18" s="62"/>
      <c r="E18" s="62"/>
      <c r="F18" s="62"/>
      <c r="G18" s="62"/>
      <c r="H18" s="62"/>
      <c r="I18" s="62"/>
      <c r="J18" s="62"/>
    </row>
    <row r="19" customFormat="false" ht="18" hidden="false" customHeight="true" outlineLevel="0" collapsed="false">
      <c r="A19" s="61" t="s">
        <v>100</v>
      </c>
      <c r="B19" s="61"/>
      <c r="C19" s="61"/>
      <c r="D19" s="61"/>
      <c r="E19" s="61"/>
      <c r="F19" s="61"/>
      <c r="G19" s="61"/>
      <c r="H19" s="61"/>
      <c r="I19" s="61"/>
      <c r="J19" s="61"/>
    </row>
    <row r="20" customFormat="false" ht="18" hidden="false" customHeight="true" outlineLevel="0" collapsed="false">
      <c r="A20" s="62" t="s">
        <v>101</v>
      </c>
      <c r="B20" s="62"/>
      <c r="C20" s="62"/>
      <c r="D20" s="62"/>
      <c r="E20" s="62"/>
      <c r="F20" s="62"/>
      <c r="G20" s="62"/>
      <c r="H20" s="62"/>
      <c r="I20" s="62"/>
      <c r="J20" s="62"/>
    </row>
  </sheetData>
  <mergeCells count="10">
    <mergeCell ref="A1:J1"/>
    <mergeCell ref="A2:C2"/>
    <mergeCell ref="A3:J3"/>
    <mergeCell ref="A14:J14"/>
    <mergeCell ref="A15:J15"/>
    <mergeCell ref="A16:J16"/>
    <mergeCell ref="A17:J17"/>
    <mergeCell ref="A18:J18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4" min="3" style="0" width="42"/>
  </cols>
  <sheetData>
    <row r="1" customFormat="false" ht="36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</row>
    <row r="2" customFormat="false" ht="14.25" hidden="false" customHeight="false" outlineLevel="0" collapsed="false">
      <c r="A2" s="63" t="s">
        <v>103</v>
      </c>
      <c r="B2" s="63" t="s">
        <v>104</v>
      </c>
      <c r="C2" s="63" t="s">
        <v>105</v>
      </c>
      <c r="D2" s="63" t="s">
        <v>106</v>
      </c>
    </row>
    <row r="3" customFormat="false" ht="48" hidden="false" customHeight="true" outlineLevel="0" collapsed="false">
      <c r="A3" s="64" t="s">
        <v>107</v>
      </c>
      <c r="B3" s="65" t="s">
        <v>108</v>
      </c>
      <c r="C3" s="66" t="s">
        <v>109</v>
      </c>
      <c r="D3" s="65" t="s">
        <v>110</v>
      </c>
    </row>
    <row r="4" customFormat="false" ht="48" hidden="false" customHeight="true" outlineLevel="0" collapsed="false">
      <c r="A4" s="67" t="s">
        <v>111</v>
      </c>
      <c r="B4" s="68" t="s">
        <v>112</v>
      </c>
      <c r="C4" s="69" t="s">
        <v>113</v>
      </c>
      <c r="D4" s="68" t="s">
        <v>114</v>
      </c>
    </row>
    <row r="5" customFormat="false" ht="48" hidden="false" customHeight="true" outlineLevel="0" collapsed="false">
      <c r="A5" s="64" t="s">
        <v>115</v>
      </c>
      <c r="B5" s="65" t="s">
        <v>116</v>
      </c>
      <c r="C5" s="66" t="s">
        <v>117</v>
      </c>
      <c r="D5" s="65" t="s">
        <v>118</v>
      </c>
    </row>
    <row r="6" customFormat="false" ht="48" hidden="false" customHeight="true" outlineLevel="0" collapsed="false">
      <c r="A6" s="67" t="s">
        <v>119</v>
      </c>
      <c r="B6" s="68" t="s">
        <v>120</v>
      </c>
      <c r="C6" s="69" t="s">
        <v>121</v>
      </c>
      <c r="D6" s="68" t="s">
        <v>122</v>
      </c>
    </row>
    <row r="7" customFormat="false" ht="48" hidden="false" customHeight="true" outlineLevel="0" collapsed="false">
      <c r="A7" s="64" t="s">
        <v>123</v>
      </c>
      <c r="B7" s="65" t="s">
        <v>124</v>
      </c>
      <c r="C7" s="66" t="s">
        <v>125</v>
      </c>
      <c r="D7" s="65" t="s">
        <v>126</v>
      </c>
    </row>
    <row r="8" customFormat="false" ht="48" hidden="false" customHeight="true" outlineLevel="0" collapsed="false">
      <c r="A8" s="67" t="s">
        <v>127</v>
      </c>
      <c r="B8" s="68" t="s">
        <v>128</v>
      </c>
      <c r="C8" s="69" t="s">
        <v>129</v>
      </c>
      <c r="D8" s="68" t="s">
        <v>130</v>
      </c>
    </row>
    <row r="9" customFormat="false" ht="48" hidden="false" customHeight="true" outlineLevel="0" collapsed="false">
      <c r="A9" s="64" t="s">
        <v>131</v>
      </c>
      <c r="B9" s="65" t="s">
        <v>132</v>
      </c>
      <c r="C9" s="66" t="s">
        <v>133</v>
      </c>
      <c r="D9" s="65" t="s">
        <v>134</v>
      </c>
    </row>
    <row r="10" customFormat="false" ht="48" hidden="false" customHeight="true" outlineLevel="0" collapsed="false">
      <c r="A10" s="67" t="s">
        <v>135</v>
      </c>
      <c r="B10" s="68" t="s">
        <v>136</v>
      </c>
      <c r="C10" s="69" t="s">
        <v>137</v>
      </c>
      <c r="D10" s="68" t="s">
        <v>138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2026-05-10T15:09:35Z</dcterms:created>
  <dc:creator>openpyxl</dc:creator>
  <dc:description/>
  <dc:language>en-US</dc:language>
  <cp:lastModifiedBy/>
  <dcterms:modified xsi:type="dcterms:W3CDTF">2026-05-10T15:16:31Z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